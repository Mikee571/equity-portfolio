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e5\Desktop\investing-portfolio\valuation\jpm\"/>
    </mc:Choice>
  </mc:AlternateContent>
  <xr:revisionPtr revIDLastSave="0" documentId="13_ncr:1_{E9EF1273-F3D1-4299-9729-D8C046AC6A3B}" xr6:coauthVersionLast="47" xr6:coauthVersionMax="47" xr10:uidLastSave="{00000000-0000-0000-0000-000000000000}"/>
  <bookViews>
    <workbookView xWindow="5052" yWindow="3360" windowWidth="17280" windowHeight="8880" xr2:uid="{00000000-000D-0000-FFFF-FFFF00000000}"/>
  </bookViews>
  <sheets>
    <sheet name="Summary" sheetId="1" r:id="rId1"/>
    <sheet name="Inputs" sheetId="2" r:id="rId2"/>
    <sheet name="Historical" sheetId="3" r:id="rId3"/>
    <sheet name="RI model" sheetId="4" r:id="rId4"/>
    <sheet name="Reverse" sheetId="5" r:id="rId5"/>
    <sheet name="Pe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6" l="1"/>
  <c r="E9" i="6"/>
  <c r="E8" i="6"/>
  <c r="E7" i="6"/>
  <c r="E6" i="6"/>
  <c r="E5" i="6"/>
  <c r="C22" i="5"/>
  <c r="C19" i="5"/>
  <c r="G17" i="5"/>
  <c r="F17" i="5"/>
  <c r="D17" i="5"/>
  <c r="C5" i="5"/>
  <c r="I18" i="5" s="1"/>
  <c r="C74" i="4"/>
  <c r="M64" i="4"/>
  <c r="L64" i="4"/>
  <c r="K64" i="4"/>
  <c r="J64" i="4"/>
  <c r="I64" i="4"/>
  <c r="H64" i="4"/>
  <c r="G64" i="4"/>
  <c r="F64" i="4"/>
  <c r="E64" i="4"/>
  <c r="D5" i="1" s="1"/>
  <c r="D64" i="4"/>
  <c r="C55" i="4"/>
  <c r="C40" i="4"/>
  <c r="C6" i="1" s="1"/>
  <c r="M30" i="4"/>
  <c r="L30" i="4"/>
  <c r="K30" i="4"/>
  <c r="J30" i="4"/>
  <c r="I30" i="4"/>
  <c r="H30" i="4"/>
  <c r="G30" i="4"/>
  <c r="F30" i="4"/>
  <c r="E30" i="4"/>
  <c r="D30" i="4"/>
  <c r="C15" i="4"/>
  <c r="M5" i="4"/>
  <c r="L5" i="4"/>
  <c r="K5" i="4"/>
  <c r="J5" i="4"/>
  <c r="I5" i="4"/>
  <c r="H5" i="4"/>
  <c r="G5" i="4"/>
  <c r="F5" i="4"/>
  <c r="E5" i="4"/>
  <c r="B5" i="1" s="1"/>
  <c r="D5" i="4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49" i="2"/>
  <c r="B19" i="2"/>
  <c r="B21" i="2" s="1"/>
  <c r="B12" i="2"/>
  <c r="B26" i="2" s="1"/>
  <c r="B6" i="2"/>
  <c r="B11" i="2" s="1"/>
  <c r="B16" i="1"/>
  <c r="C14" i="1"/>
  <c r="B13" i="1"/>
  <c r="D11" i="1"/>
  <c r="C11" i="1"/>
  <c r="B11" i="1"/>
  <c r="D6" i="1"/>
  <c r="B6" i="1"/>
  <c r="C5" i="1"/>
  <c r="D19" i="5" l="1"/>
  <c r="G14" i="5"/>
  <c r="I14" i="5"/>
  <c r="F14" i="5"/>
  <c r="D15" i="5"/>
  <c r="C13" i="5"/>
  <c r="E15" i="5"/>
  <c r="E19" i="5"/>
  <c r="I19" i="5"/>
  <c r="H16" i="5"/>
  <c r="I16" i="5"/>
  <c r="F19" i="5"/>
  <c r="H19" i="5"/>
  <c r="H14" i="5"/>
  <c r="C17" i="5"/>
  <c r="C20" i="4"/>
  <c r="C34" i="4"/>
  <c r="D31" i="4" s="1"/>
  <c r="C9" i="4"/>
  <c r="D6" i="4" s="1"/>
  <c r="D10" i="4" s="1"/>
  <c r="C79" i="4"/>
  <c r="C45" i="4"/>
  <c r="C68" i="4"/>
  <c r="D65" i="4" s="1"/>
  <c r="D69" i="4" s="1"/>
  <c r="G10" i="6"/>
  <c r="H10" i="6" s="1"/>
  <c r="I37" i="4"/>
  <c r="H37" i="4"/>
  <c r="F71" i="4"/>
  <c r="G37" i="4"/>
  <c r="M12" i="4"/>
  <c r="L12" i="4"/>
  <c r="L71" i="4"/>
  <c r="E37" i="4"/>
  <c r="K12" i="4"/>
  <c r="G9" i="6"/>
  <c r="M71" i="4"/>
  <c r="F37" i="4"/>
  <c r="L37" i="4"/>
  <c r="K71" i="4"/>
  <c r="D37" i="4"/>
  <c r="J12" i="4"/>
  <c r="B14" i="1"/>
  <c r="J71" i="4"/>
  <c r="I12" i="4"/>
  <c r="H71" i="4"/>
  <c r="G12" i="4"/>
  <c r="G71" i="4"/>
  <c r="D35" i="4"/>
  <c r="M37" i="4"/>
  <c r="G8" i="6"/>
  <c r="H8" i="6" s="1"/>
  <c r="I71" i="4"/>
  <c r="H12" i="4"/>
  <c r="E12" i="4"/>
  <c r="F12" i="4"/>
  <c r="J37" i="4"/>
  <c r="G7" i="6"/>
  <c r="E71" i="4"/>
  <c r="D12" i="4"/>
  <c r="C4" i="5"/>
  <c r="D71" i="4"/>
  <c r="K37" i="4"/>
  <c r="G5" i="6"/>
  <c r="H5" i="6" s="1"/>
  <c r="G6" i="6"/>
  <c r="H6" i="6" s="1"/>
  <c r="H7" i="6"/>
  <c r="D32" i="4"/>
  <c r="H9" i="6"/>
  <c r="C3" i="5"/>
  <c r="C15" i="5"/>
  <c r="E17" i="5"/>
  <c r="G19" i="5"/>
  <c r="D13" i="5"/>
  <c r="F15" i="5"/>
  <c r="H17" i="5"/>
  <c r="C20" i="5"/>
  <c r="E13" i="5"/>
  <c r="G15" i="5"/>
  <c r="I17" i="5"/>
  <c r="D20" i="5"/>
  <c r="C13" i="1"/>
  <c r="C53" i="4"/>
  <c r="F13" i="5"/>
  <c r="H15" i="5"/>
  <c r="C18" i="5"/>
  <c r="E20" i="5"/>
  <c r="G13" i="5"/>
  <c r="I15" i="5"/>
  <c r="D18" i="5"/>
  <c r="F20" i="5"/>
  <c r="H13" i="5"/>
  <c r="C16" i="5"/>
  <c r="E18" i="5"/>
  <c r="G20" i="5"/>
  <c r="I13" i="5"/>
  <c r="D16" i="5"/>
  <c r="F18" i="5"/>
  <c r="H20" i="5"/>
  <c r="C14" i="5"/>
  <c r="E16" i="5"/>
  <c r="G18" i="5"/>
  <c r="I20" i="5"/>
  <c r="D14" i="5"/>
  <c r="F16" i="5"/>
  <c r="H18" i="5"/>
  <c r="E14" i="5"/>
  <c r="G16" i="5"/>
  <c r="C6" i="5" l="1"/>
  <c r="B15" i="1" s="1"/>
  <c r="D66" i="4"/>
  <c r="D7" i="4"/>
  <c r="D54" i="4"/>
  <c r="D33" i="4"/>
  <c r="D34" i="4" s="1"/>
  <c r="D36" i="4"/>
  <c r="D38" i="4" s="1"/>
  <c r="E31" i="4" l="1"/>
  <c r="D53" i="4"/>
  <c r="D67" i="4"/>
  <c r="D70" i="4"/>
  <c r="D72" i="4" s="1"/>
  <c r="D8" i="4"/>
  <c r="D11" i="4"/>
  <c r="D13" i="4" s="1"/>
  <c r="D9" i="4"/>
  <c r="E6" i="4" s="1"/>
  <c r="D68" i="4"/>
  <c r="E65" i="4" s="1"/>
  <c r="E7" i="4" l="1"/>
  <c r="E10" i="4"/>
  <c r="E66" i="4"/>
  <c r="E69" i="4"/>
  <c r="E32" i="4"/>
  <c r="E35" i="4"/>
  <c r="D55" i="4"/>
  <c r="D57" i="4" s="1"/>
  <c r="E54" i="4" l="1"/>
  <c r="E56" i="4" s="1"/>
  <c r="E33" i="4"/>
  <c r="E53" i="4" s="1"/>
  <c r="E36" i="4"/>
  <c r="E38" i="4" s="1"/>
  <c r="E34" i="4"/>
  <c r="E67" i="4"/>
  <c r="E68" i="4" s="1"/>
  <c r="F65" i="4" s="1"/>
  <c r="E70" i="4"/>
  <c r="E72" i="4" s="1"/>
  <c r="E11" i="4"/>
  <c r="E13" i="4" s="1"/>
  <c r="E8" i="4"/>
  <c r="E9" i="4" s="1"/>
  <c r="F6" i="4" s="1"/>
  <c r="F66" i="4" l="1"/>
  <c r="F69" i="4"/>
  <c r="F7" i="4"/>
  <c r="F10" i="4"/>
  <c r="F31" i="4"/>
  <c r="E55" i="4"/>
  <c r="E57" i="4" s="1"/>
  <c r="F32" i="4" l="1"/>
  <c r="F35" i="4"/>
  <c r="F8" i="4"/>
  <c r="F9" i="4" s="1"/>
  <c r="G6" i="4" s="1"/>
  <c r="F11" i="4"/>
  <c r="F13" i="4" s="1"/>
  <c r="F70" i="4"/>
  <c r="F72" i="4" s="1"/>
  <c r="F67" i="4"/>
  <c r="F68" i="4"/>
  <c r="G65" i="4" s="1"/>
  <c r="G7" i="4" l="1"/>
  <c r="G10" i="4"/>
  <c r="F36" i="4"/>
  <c r="F38" i="4" s="1"/>
  <c r="F54" i="4"/>
  <c r="F56" i="4" s="1"/>
  <c r="F33" i="4"/>
  <c r="F53" i="4" s="1"/>
  <c r="G66" i="4"/>
  <c r="G69" i="4"/>
  <c r="F34" i="4"/>
  <c r="G8" i="4" l="1"/>
  <c r="G11" i="4"/>
  <c r="G13" i="4" s="1"/>
  <c r="F55" i="4"/>
  <c r="F57" i="4" s="1"/>
  <c r="G31" i="4"/>
  <c r="G67" i="4"/>
  <c r="G68" i="4" s="1"/>
  <c r="H65" i="4" s="1"/>
  <c r="G70" i="4"/>
  <c r="G72" i="4" s="1"/>
  <c r="G9" i="4"/>
  <c r="H6" i="4" s="1"/>
  <c r="H7" i="4" l="1"/>
  <c r="H10" i="4"/>
  <c r="H69" i="4"/>
  <c r="H66" i="4"/>
  <c r="G35" i="4"/>
  <c r="G32" i="4"/>
  <c r="G54" i="4" l="1"/>
  <c r="G56" i="4" s="1"/>
  <c r="G36" i="4"/>
  <c r="G38" i="4" s="1"/>
  <c r="G33" i="4"/>
  <c r="G53" i="4" s="1"/>
  <c r="H67" i="4"/>
  <c r="H70" i="4"/>
  <c r="H72" i="4" s="1"/>
  <c r="H68" i="4"/>
  <c r="I65" i="4" s="1"/>
  <c r="G34" i="4"/>
  <c r="H8" i="4"/>
  <c r="H11" i="4"/>
  <c r="H13" i="4" s="1"/>
  <c r="H9" i="4"/>
  <c r="I6" i="4" s="1"/>
  <c r="I7" i="4" l="1"/>
  <c r="I10" i="4"/>
  <c r="I69" i="4"/>
  <c r="I66" i="4"/>
  <c r="G55" i="4"/>
  <c r="G57" i="4" s="1"/>
  <c r="H31" i="4"/>
  <c r="H32" i="4" l="1"/>
  <c r="H35" i="4"/>
  <c r="I67" i="4"/>
  <c r="I70" i="4"/>
  <c r="I72" i="4" s="1"/>
  <c r="I68" i="4"/>
  <c r="J65" i="4" s="1"/>
  <c r="I11" i="4"/>
  <c r="I13" i="4" s="1"/>
  <c r="I8" i="4"/>
  <c r="I9" i="4" s="1"/>
  <c r="J6" i="4" s="1"/>
  <c r="J10" i="4" l="1"/>
  <c r="J7" i="4"/>
  <c r="J66" i="4"/>
  <c r="J69" i="4"/>
  <c r="H33" i="4"/>
  <c r="H53" i="4" s="1"/>
  <c r="H54" i="4"/>
  <c r="H56" i="4" s="1"/>
  <c r="H36" i="4"/>
  <c r="H38" i="4" s="1"/>
  <c r="H34" i="4"/>
  <c r="J70" i="4" l="1"/>
  <c r="J72" i="4" s="1"/>
  <c r="J67" i="4"/>
  <c r="J68" i="4" s="1"/>
  <c r="K65" i="4" s="1"/>
  <c r="H55" i="4"/>
  <c r="H57" i="4" s="1"/>
  <c r="I31" i="4"/>
  <c r="J11" i="4"/>
  <c r="J13" i="4" s="1"/>
  <c r="J8" i="4"/>
  <c r="J9" i="4" s="1"/>
  <c r="K6" i="4" s="1"/>
  <c r="K10" i="4" l="1"/>
  <c r="K7" i="4"/>
  <c r="K66" i="4"/>
  <c r="K69" i="4"/>
  <c r="I35" i="4"/>
  <c r="I32" i="4"/>
  <c r="I36" i="4" l="1"/>
  <c r="I38" i="4" s="1"/>
  <c r="I54" i="4"/>
  <c r="I56" i="4" s="1"/>
  <c r="I33" i="4"/>
  <c r="I53" i="4" s="1"/>
  <c r="K8" i="4"/>
  <c r="K11" i="4"/>
  <c r="K13" i="4" s="1"/>
  <c r="K70" i="4"/>
  <c r="K72" i="4" s="1"/>
  <c r="K67" i="4"/>
  <c r="K68" i="4"/>
  <c r="L65" i="4" s="1"/>
  <c r="K9" i="4"/>
  <c r="L6" i="4" s="1"/>
  <c r="L69" i="4" l="1"/>
  <c r="L66" i="4"/>
  <c r="L10" i="4"/>
  <c r="L7" i="4"/>
  <c r="I34" i="4"/>
  <c r="J31" i="4" l="1"/>
  <c r="I55" i="4"/>
  <c r="I57" i="4" s="1"/>
  <c r="L8" i="4"/>
  <c r="L9" i="4" s="1"/>
  <c r="M6" i="4" s="1"/>
  <c r="L11" i="4"/>
  <c r="L13" i="4" s="1"/>
  <c r="L70" i="4"/>
  <c r="L72" i="4" s="1"/>
  <c r="L67" i="4"/>
  <c r="L68" i="4" s="1"/>
  <c r="M65" i="4" s="1"/>
  <c r="M66" i="4" l="1"/>
  <c r="M69" i="4"/>
  <c r="M10" i="4"/>
  <c r="M7" i="4"/>
  <c r="J32" i="4"/>
  <c r="J35" i="4"/>
  <c r="M11" i="4" l="1"/>
  <c r="M13" i="4" s="1"/>
  <c r="C19" i="4" s="1"/>
  <c r="M8" i="4"/>
  <c r="J54" i="4"/>
  <c r="J56" i="4" s="1"/>
  <c r="J33" i="4"/>
  <c r="J53" i="4" s="1"/>
  <c r="J36" i="4"/>
  <c r="J38" i="4" s="1"/>
  <c r="J34" i="4"/>
  <c r="M9" i="4"/>
  <c r="C16" i="4" s="1"/>
  <c r="C17" i="4" s="1"/>
  <c r="C18" i="4" s="1"/>
  <c r="M70" i="4"/>
  <c r="M72" i="4" s="1"/>
  <c r="C78" i="4" s="1"/>
  <c r="M67" i="4"/>
  <c r="M68" i="4" s="1"/>
  <c r="C75" i="4" s="1"/>
  <c r="C76" i="4" s="1"/>
  <c r="C77" i="4" s="1"/>
  <c r="C80" i="4" l="1"/>
  <c r="J55" i="4"/>
  <c r="J57" i="4" s="1"/>
  <c r="K31" i="4"/>
  <c r="C21" i="4"/>
  <c r="C22" i="4" l="1"/>
  <c r="B7" i="1"/>
  <c r="K32" i="4"/>
  <c r="K35" i="4"/>
  <c r="C25" i="4"/>
  <c r="C81" i="4"/>
  <c r="D7" i="1"/>
  <c r="C84" i="4"/>
  <c r="C82" i="4" l="1"/>
  <c r="D9" i="1" s="1"/>
  <c r="C83" i="4"/>
  <c r="D10" i="1" s="1"/>
  <c r="D8" i="1"/>
  <c r="K54" i="4"/>
  <c r="K56" i="4" s="1"/>
  <c r="K36" i="4"/>
  <c r="K38" i="4" s="1"/>
  <c r="K33" i="4"/>
  <c r="C23" i="4"/>
  <c r="B9" i="1" s="1"/>
  <c r="B8" i="1"/>
  <c r="C24" i="4"/>
  <c r="B10" i="1" s="1"/>
  <c r="K53" i="4" l="1"/>
  <c r="K34" i="4"/>
  <c r="L31" i="4" l="1"/>
  <c r="K55" i="4"/>
  <c r="K57" i="4" s="1"/>
  <c r="L32" i="4" l="1"/>
  <c r="L35" i="4"/>
  <c r="L54" i="4" l="1"/>
  <c r="L56" i="4" s="1"/>
  <c r="L33" i="4"/>
  <c r="L53" i="4" s="1"/>
  <c r="L36" i="4"/>
  <c r="L38" i="4" s="1"/>
  <c r="L34" i="4"/>
  <c r="M31" i="4" l="1"/>
  <c r="L55" i="4"/>
  <c r="L57" i="4" s="1"/>
  <c r="M32" i="4" l="1"/>
  <c r="M35" i="4"/>
  <c r="M54" i="4" l="1"/>
  <c r="M56" i="4" s="1"/>
  <c r="M33" i="4"/>
  <c r="M53" i="4" s="1"/>
  <c r="M36" i="4"/>
  <c r="M38" i="4" s="1"/>
  <c r="C44" i="4" s="1"/>
  <c r="M34" i="4"/>
  <c r="M55" i="4" l="1"/>
  <c r="M57" i="4" s="1"/>
  <c r="C41" i="4"/>
  <c r="C42" i="4" s="1"/>
  <c r="C43" i="4" s="1"/>
  <c r="C46" i="4" l="1"/>
  <c r="C47" i="4" l="1"/>
  <c r="C7" i="1"/>
  <c r="C50" i="4"/>
  <c r="C8" i="1" l="1"/>
  <c r="E8" i="1" s="1"/>
  <c r="E9" i="1" s="1"/>
  <c r="C49" i="4"/>
  <c r="C10" i="1" s="1"/>
  <c r="C48" i="4"/>
  <c r="C9" i="1" s="1"/>
</calcChain>
</file>

<file path=xl/sharedStrings.xml><?xml version="1.0" encoding="utf-8"?>
<sst xmlns="http://schemas.openxmlformats.org/spreadsheetml/2006/main" count="266" uniqueCount="170">
  <si>
    <t>JPMorgan Chase (JPM): three-scenario residual income model</t>
  </si>
  <si>
    <t>Valuation date 2026-10-16. $mm unless stated. Change blue/yellow cells in 'Inputs'; everything else recalculates.</t>
  </si>
  <si>
    <t>Bear</t>
  </si>
  <si>
    <t>Base</t>
  </si>
  <si>
    <t>Bull</t>
  </si>
  <si>
    <t>Prob.-weighted</t>
  </si>
  <si>
    <t>ROTE in Y2</t>
  </si>
  <si>
    <t>Long-run ROTE</t>
  </si>
  <si>
    <t>Equity value</t>
  </si>
  <si>
    <t>Value per share ($)</t>
  </si>
  <si>
    <t>Upside / (downside)</t>
  </si>
  <si>
    <t>Implied P/TBV</t>
  </si>
  <si>
    <t>Probability</t>
  </si>
  <si>
    <t>Current price ($) / P/TBV</t>
  </si>
  <si>
    <t>Cost of equity / terminal growth</t>
  </si>
  <si>
    <t>ROTE the price implies, forever</t>
  </si>
  <si>
    <t>Analyst mean target ($)</t>
  </si>
  <si>
    <t>Legend: blue = input, black = formula, green = link to another sheet, yellow = key assumption.</t>
  </si>
  <si>
    <t>Sources: JPM Q3 2026 earnings release (2026-10-13); SEC EDGAR XBRL; Yahoo Finance 2026-10-16.</t>
  </si>
  <si>
    <t>Personal research, not investment advice.</t>
  </si>
  <si>
    <t>JPMorgan Chase: inputs and scenario levers ($mm unless stated)</t>
  </si>
  <si>
    <t>Blue = hardcoded input. Yellow = key assumption. Black = formula. Sources in column O.</t>
  </si>
  <si>
    <t>Market data and capital</t>
  </si>
  <si>
    <t>Share price ($)</t>
  </si>
  <si>
    <t>Yahoo Finance, close 2026-10-16</t>
  </si>
  <si>
    <t>Common shares outstanding (mm)</t>
  </si>
  <si>
    <t>Derived: (total equity - preferred) / book value per share; Yahoo shows 2,655.6mm</t>
  </si>
  <si>
    <t>Total stockholders' equity, 30 Sep 2026</t>
  </si>
  <si>
    <t>Q3 2026 earnings release (8-K exhibit 99.1, 2026-10-13)</t>
  </si>
  <si>
    <t>Preferred stock (liquidation preference)</t>
  </si>
  <si>
    <t>SEC XBRL PreferredStockLiquidationPreferenceValue, 30 Jun 2026</t>
  </si>
  <si>
    <t>Book value per share ($)</t>
  </si>
  <si>
    <t>Q3 2026 earnings release</t>
  </si>
  <si>
    <t>Tangible book value per share ($)</t>
  </si>
  <si>
    <t>Tangible common equity (TCE)</t>
  </si>
  <si>
    <t>Formula</t>
  </si>
  <si>
    <t>Current P/TBV</t>
  </si>
  <si>
    <t>Q3 2026 ROTCE: reported / ex significant items</t>
  </si>
  <si>
    <t>20% / 21%</t>
  </si>
  <si>
    <t>Q3 2026 earnings release ($658mm securities loss)</t>
  </si>
  <si>
    <t>CET1 ratio (Standardized)</t>
  </si>
  <si>
    <t>Q3 2026 earnings release; ~$30bn excess capital per management</t>
  </si>
  <si>
    <t>Cost of equity</t>
  </si>
  <si>
    <t>Risk-free rate (US 10-year)</t>
  </si>
  <si>
    <t>^TNX close 2026-10-16</t>
  </si>
  <si>
    <t>Beta (5y monthly)</t>
  </si>
  <si>
    <t>Yahoo Finance</t>
  </si>
  <si>
    <t>Adjusted beta (Blume: 0.67 x raw + 0.33)</t>
  </si>
  <si>
    <t>Equity risk premium</t>
  </si>
  <si>
    <t>Assumption (author)</t>
  </si>
  <si>
    <t>Cost of equity (r)</t>
  </si>
  <si>
    <t>CAPM</t>
  </si>
  <si>
    <t>Terminal growth (g)</t>
  </si>
  <si>
    <t>Assumption: roughly US nominal GDP; same as the original pitch</t>
  </si>
  <si>
    <t>Per-share mechanics (illustrative block in the base case)</t>
  </si>
  <si>
    <t>Share of distributions done as buybacks</t>
  </si>
  <si>
    <t>Assumption; Q3 2026 net buybacks $0.66bn vs dividends $4.4bn</t>
  </si>
  <si>
    <t>Buyback price as a multiple of TBVPS</t>
  </si>
  <si>
    <t>Assumes today's P/TBV persists</t>
  </si>
  <si>
    <t>Scenarios: return on tangible common equity by year (Y1 = Oct 2026 - Sep 2027)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</si>
  <si>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</si>
  <si>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</si>
  <si>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</si>
  <si>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</si>
  <si>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</si>
  <si>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</si>
  <si>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</si>
  <si>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</si>
  <si>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</si>
  <si>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</si>
  <si>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Bear case</t>
  </si>
  <si>
    <t>Credit cycle in 2027-28 (card and wholesale losses, reserve builds), then a lower-return normal of 15%.</t>
  </si>
  <si>
    <t xml:space="preserve">  ROTE</t>
  </si>
  <si>
    <t xml:space="preserve">  Long-run ROTE (terminal)</t>
  </si>
  <si>
    <t xml:space="preserve">  Payout (dividends + buybacks, % of earnings)</t>
  </si>
  <si>
    <t>Base case</t>
  </si>
  <si>
    <t>Glide from today's ~21% core ROTCE to management's through-the-cycle target of 17%.</t>
  </si>
  <si>
    <t>Management's through-the-cycle ROTCE target is 17%; Q3 2026 core ROTCE was 21%.</t>
  </si>
  <si>
    <t>Bull case</t>
  </si>
  <si>
    <t>JPM keeps its edge: ROTE stays above 20% for a decade.</t>
  </si>
  <si>
    <t>Scenario probabilities</t>
  </si>
  <si>
    <t xml:space="preserve">  Bear</t>
  </si>
  <si>
    <t xml:space="preserve">  Base</t>
  </si>
  <si>
    <t xml:space="preserve">  Bull</t>
  </si>
  <si>
    <t xml:space="preserve">  Check (must be 100%)</t>
  </si>
  <si>
    <t>For reference</t>
  </si>
  <si>
    <t xml:space="preserve">  Analyst mean target ($) / number of analysts</t>
  </si>
  <si>
    <t>Yahoo Finance, 2026-10-16</t>
  </si>
  <si>
    <t xml:space="preserve">  Forward EPS, next 12 months ($)</t>
  </si>
  <si>
    <t>JPMorgan Chase: history ($mm unless stated)</t>
  </si>
  <si>
    <t>Source: SEC EDGAR XBRL company facts (10-K), CIK 0000019617.</t>
  </si>
  <si>
    <t>$mm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</si>
  <si>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</si>
  <si>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</si>
  <si>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</si>
  <si>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</si>
  <si>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</si>
  <si>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</si>
  <si>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</si>
  <si>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</si>
  <si>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</si>
  <si>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</si>
  <si>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</si>
  <si>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</si>
  <si>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</si>
  <si>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</si>
  <si>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 interest income</t>
  </si>
  <si>
    <t>Noninterest revenue</t>
  </si>
  <si>
    <t>Noninterest expense</t>
  </si>
  <si>
    <t>Provision for credit losses</t>
  </si>
  <si>
    <t>Net income</t>
  </si>
  <si>
    <t>Net income to common</t>
  </si>
  <si>
    <t>Total stockholders' equity</t>
  </si>
  <si>
    <t>Goodwill</t>
  </si>
  <si>
    <t>Diluted EPS ($)</t>
  </si>
  <si>
    <t>Dividends declared per share ($)</t>
  </si>
  <si>
    <t>Buybacks</t>
  </si>
  <si>
    <t>Diluted shares (mm)</t>
  </si>
  <si>
    <t>Efficiency ratio (expense / revenue)</t>
  </si>
  <si>
    <t>Provision / net interest income</t>
  </si>
  <si>
    <t>Return on total equity (net income / year-end equity)</t>
  </si>
  <si>
    <t>Dividend payout (DPS / EPS)</t>
  </si>
  <si>
    <t>2020 shows the credit-cycle pattern: provisions jumped to $17.5bn and net income fell 20%. In 2021 reserve releases (negative provision) lifted earnings to a record.</t>
  </si>
  <si>
    <t>Residual income model by scenario ($mm). Value = TCE today + PV of (net income - r x opening TCE).</t>
  </si>
  <si>
    <t>Y0</t>
  </si>
  <si>
    <t>ROTE</t>
  </si>
  <si>
    <t>Opening TCE</t>
  </si>
  <si>
    <t>Distributions (dividends + buybacks)</t>
  </si>
  <si>
    <t>Closing TCE</t>
  </si>
  <si>
    <t>Equity charge (r x opening TCE)</t>
  </si>
  <si>
    <t>Residual income</t>
  </si>
  <si>
    <t>Discount factor</t>
  </si>
  <si>
    <t>PV of residual income</t>
  </si>
  <si>
    <t>Terminal residual income (year 11)</t>
  </si>
  <si>
    <t>Terminal value at Y10</t>
  </si>
  <si>
    <t>PV of terminal value</t>
  </si>
  <si>
    <t>Sum of PV of residual income (Y1-Y10)</t>
  </si>
  <si>
    <t>Tangible common equity today</t>
  </si>
  <si>
    <t>Upside / (downside) vs price</t>
  </si>
  <si>
    <t>Terminal value as % of equity value</t>
  </si>
  <si>
    <t>Per-share mechanics: what buybacks at ~3x tangible book do to EPS and TBVPS</t>
  </si>
  <si>
    <t xml:space="preserve">  Shares outstanding (mm)</t>
  </si>
  <si>
    <t xml:space="preserve">  EPS ($)</t>
  </si>
  <si>
    <t xml:space="preserve">  TBVPS ($)</t>
  </si>
  <si>
    <t xml:space="preserve">  EPS growth</t>
  </si>
  <si>
    <t xml:space="preserve">  TBVPS growth</t>
  </si>
  <si>
    <t>Buybacks at ~3x TBV still lift TBVPS compared with paying the same cash as dividends, but they dilute it compared with keeping the cash: each $1 spent removes $1 of tangible book and only $0.33 of book value's worth of shares.</t>
  </si>
  <si>
    <t>What does the price imply? Steady state: justified P/TBV = (ROTE - g) / (r - g)</t>
  </si>
  <si>
    <t xml:space="preserve">  vs management through-the-cycle target</t>
  </si>
  <si>
    <t xml:space="preserve">  vs Q3 2026 core ROTCE</t>
  </si>
  <si>
    <t>Value per share ($), steady-state formula: cost of equity (rows) x sustained ROTE (columns)</t>
  </si>
  <si>
    <t>r \ ROTE</t>
  </si>
  <si>
    <t>Current price ($)</t>
  </si>
  <si>
    <t>US large banks, same method for all: TBVPS = book value per share (Yahoo) - (goodwill + intangibles) / shares (SEC XBRL); ROTE = TTM net income to common / TCE.</t>
  </si>
  <si>
    <t>Prices 2026-10-16. JPM's computed TBVPS ($111.96) differs from the reported $112.64 by deferred-tax netting.</t>
  </si>
  <si>
    <t>Bank</t>
  </si>
  <si>
    <t>Price</t>
  </si>
  <si>
    <t>TBVPS</t>
  </si>
  <si>
    <t>ROTE (TTM)</t>
  </si>
  <si>
    <t>P/TBV</t>
  </si>
  <si>
    <t>P/E (TTM)</t>
  </si>
  <si>
    <t>Justified P/TBV*</t>
  </si>
  <si>
    <t>Gap</t>
  </si>
  <si>
    <t>JPM</t>
  </si>
  <si>
    <t>BAC</t>
  </si>
  <si>
    <t>WFC</t>
  </si>
  <si>
    <t>C</t>
  </si>
  <si>
    <t>GS</t>
  </si>
  <si>
    <t>MS</t>
  </si>
  <si>
    <t>* If today's TTM ROTE lasted forever, at JPM's cost of equity and growth. Gap &gt; 0 means the price asks for more than today's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</si>
</sst>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;\(\$#,##0.00\);&quot;-&quot;"/>
    <numFmt numFmtId="165" formatCode="#,##0;\(#,##0\);&quot;-&quot;"/>
    <numFmt numFmtId="166" formatCode="0.00&quot;x&quot;"/>
    <numFmt numFmtId="167" formatCode="0.0%;\(0.0%\);&quot;-&quot;"/>
    <numFmt numFmtId="168" formatCode="0.000"/>
    <numFmt numFmtId="169" formatCode="\$#,##0"/>
    <numFmt numFmtId="170" formatCode="0.0&quot;x&quot;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00FF"/>
      <name val="Arial"/>
    </font>
    <font>
      <b/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3" fillId="0" borderId="0" xfId="0" applyFont="1"/>
    <xf numFmtId="167" fontId="5" fillId="0" borderId="0" xfId="0" applyNumberFormat="1" applyFont="1"/>
    <xf numFmtId="165" fontId="5" fillId="0" borderId="0" xfId="0" applyNumberFormat="1" applyFont="1"/>
    <xf numFmtId="164" fontId="7" fillId="0" borderId="0" xfId="0" applyNumberFormat="1" applyFont="1"/>
    <xf numFmtId="164" fontId="1" fillId="0" borderId="0" xfId="0" applyNumberFormat="1" applyFont="1"/>
    <xf numFmtId="167" fontId="3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/>
    <xf numFmtId="167" fontId="7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166" fontId="3" fillId="0" borderId="0" xfId="0" applyNumberFormat="1" applyFont="1"/>
    <xf numFmtId="0" fontId="4" fillId="0" borderId="0" xfId="0" applyFont="1"/>
    <xf numFmtId="167" fontId="4" fillId="0" borderId="0" xfId="0" applyNumberFormat="1" applyFont="1"/>
    <xf numFmtId="168" fontId="4" fillId="0" borderId="0" xfId="0" applyNumberFormat="1" applyFont="1"/>
    <xf numFmtId="168" fontId="3" fillId="0" borderId="0" xfId="0" applyNumberFormat="1" applyFont="1"/>
    <xf numFmtId="167" fontId="4" fillId="2" borderId="0" xfId="0" applyNumberFormat="1" applyFont="1" applyFill="1"/>
    <xf numFmtId="1" fontId="4" fillId="0" borderId="0" xfId="0" applyNumberFormat="1" applyFont="1"/>
    <xf numFmtId="165" fontId="1" fillId="0" borderId="0" xfId="0" applyNumberFormat="1" applyFont="1"/>
    <xf numFmtId="164" fontId="3" fillId="0" borderId="0" xfId="0" applyNumberFormat="1" applyFont="1"/>
    <xf numFmtId="167" fontId="1" fillId="0" borderId="0" xfId="0" applyNumberFormat="1" applyFont="1"/>
    <xf numFmtId="167" fontId="6" fillId="3" borderId="0" xfId="0" applyNumberFormat="1" applyFont="1" applyFill="1" applyAlignment="1">
      <alignment horizontal="center"/>
    </xf>
    <xf numFmtId="167" fontId="6" fillId="0" borderId="0" xfId="0" applyNumberFormat="1" applyFont="1"/>
    <xf numFmtId="169" fontId="3" fillId="0" borderId="0" xfId="0" applyNumberFormat="1" applyFont="1"/>
    <xf numFmtId="17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/>
  </sheetViews>
  <sheetFormatPr baseColWidth="10" defaultColWidth="8.88671875" defaultRowHeight="14.4" x14ac:dyDescent="0.3"/>
  <cols>
    <col min="1" max="1" width="46" customWidth="1"/>
    <col min="2" max="5" width="15" customWidth="1"/>
  </cols>
  <sheetData>
    <row r="1" spans="1:5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/>
      <c r="B4" s="4" t="s">
        <v>2</v>
      </c>
      <c r="C4" s="4" t="s">
        <v>3</v>
      </c>
      <c r="D4" s="4" t="s">
        <v>4</v>
      </c>
      <c r="E4" s="4" t="s">
        <v>5</v>
      </c>
    </row>
    <row r="5" spans="1:5" x14ac:dyDescent="0.3">
      <c r="A5" s="5" t="s">
        <v>6</v>
      </c>
      <c r="B5" s="6">
        <f>'RI model'!E5</f>
        <v>0.12</v>
      </c>
      <c r="C5" s="6">
        <f>'RI model'!E30</f>
        <v>0.19</v>
      </c>
      <c r="D5" s="6">
        <f>'RI model'!E64</f>
        <v>0.21</v>
      </c>
    </row>
    <row r="6" spans="1:5" x14ac:dyDescent="0.3">
      <c r="A6" s="5" t="s">
        <v>7</v>
      </c>
      <c r="B6" s="6">
        <f>'RI model'!C15</f>
        <v>0.15</v>
      </c>
      <c r="C6" s="6">
        <f>'RI model'!C40</f>
        <v>0.17</v>
      </c>
      <c r="D6" s="6">
        <f>'RI model'!C74</f>
        <v>0.2</v>
      </c>
    </row>
    <row r="7" spans="1:5" x14ac:dyDescent="0.3">
      <c r="A7" s="5" t="s">
        <v>8</v>
      </c>
      <c r="B7" s="7">
        <f>'RI model'!C21</f>
        <v>602533.2923779306</v>
      </c>
      <c r="C7" s="7">
        <f>'RI model'!C46</f>
        <v>731645.10660243989</v>
      </c>
      <c r="D7" s="7">
        <f>'RI model'!C80</f>
        <v>915028.88235477451</v>
      </c>
    </row>
    <row r="8" spans="1:5" x14ac:dyDescent="0.3">
      <c r="A8" s="1" t="s">
        <v>9</v>
      </c>
      <c r="B8" s="8">
        <f>'RI model'!C22</f>
        <v>227.23818295781135</v>
      </c>
      <c r="C8" s="8">
        <f>'RI model'!C47</f>
        <v>275.9311505230981</v>
      </c>
      <c r="D8" s="8">
        <f>'RI model'!C81</f>
        <v>345.09213550609087</v>
      </c>
      <c r="E8" s="9">
        <f>SUMPRODUCT(B8:D8,B11:D11)</f>
        <v>281.04815487752461</v>
      </c>
    </row>
    <row r="9" spans="1:5" x14ac:dyDescent="0.3">
      <c r="A9" s="5" t="s">
        <v>10</v>
      </c>
      <c r="B9" s="6">
        <f>'RI model'!C23</f>
        <v>-0.33110154551450799</v>
      </c>
      <c r="C9" s="6">
        <f>'RI model'!C48</f>
        <v>-0.18776889637613892</v>
      </c>
      <c r="D9" s="6">
        <f>'RI model'!C82</f>
        <v>1.5813421364920588E-2</v>
      </c>
      <c r="E9" s="10">
        <f>E8/Inputs!B5-1</f>
        <v>-0.17270647922546634</v>
      </c>
    </row>
    <row r="10" spans="1:5" x14ac:dyDescent="0.3">
      <c r="A10" s="5" t="s">
        <v>11</v>
      </c>
      <c r="B10" s="11">
        <f>'RI model'!C24</f>
        <v>2.0173844367703424</v>
      </c>
      <c r="C10" s="11">
        <f>'RI model'!C49</f>
        <v>2.4496728562064818</v>
      </c>
      <c r="D10" s="11">
        <f>'RI model'!C83</f>
        <v>3.0636730780015169</v>
      </c>
    </row>
    <row r="11" spans="1:5" x14ac:dyDescent="0.3">
      <c r="A11" s="5" t="s">
        <v>12</v>
      </c>
      <c r="B11" s="6">
        <f>Inputs!B46</f>
        <v>0.25</v>
      </c>
      <c r="C11" s="6">
        <f>Inputs!B47</f>
        <v>0.5</v>
      </c>
      <c r="D11" s="6">
        <f>Inputs!B48</f>
        <v>0.25</v>
      </c>
    </row>
    <row r="13" spans="1:5" x14ac:dyDescent="0.3">
      <c r="A13" s="5" t="s">
        <v>13</v>
      </c>
      <c r="B13" s="12">
        <f>Inputs!B5</f>
        <v>339.72</v>
      </c>
      <c r="C13" s="11">
        <f>Inputs!B12</f>
        <v>3.0159801136363638</v>
      </c>
    </row>
    <row r="14" spans="1:5" x14ac:dyDescent="0.3">
      <c r="A14" s="5" t="s">
        <v>14</v>
      </c>
      <c r="B14" s="6">
        <f>Inputs!B21</f>
        <v>0.1015025</v>
      </c>
      <c r="C14" s="6">
        <f>Inputs!B22</f>
        <v>0.04</v>
      </c>
    </row>
    <row r="15" spans="1:5" x14ac:dyDescent="0.3">
      <c r="A15" s="1" t="s">
        <v>15</v>
      </c>
      <c r="B15" s="13">
        <f>Reverse!C6</f>
        <v>0.22549031693892047</v>
      </c>
    </row>
    <row r="16" spans="1:5" x14ac:dyDescent="0.3">
      <c r="A16" s="5" t="s">
        <v>16</v>
      </c>
      <c r="B16" s="12">
        <f>Inputs!B52</f>
        <v>372.57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showGridLines="0" workbookViewId="0"/>
  </sheetViews>
  <sheetFormatPr baseColWidth="10" defaultColWidth="8.88671875" defaultRowHeight="14.4" x14ac:dyDescent="0.3"/>
  <cols>
    <col min="1" max="1" width="52" customWidth="1"/>
    <col min="2" max="14" width="9" customWidth="1"/>
    <col min="15" max="15" width="90" customWidth="1"/>
  </cols>
  <sheetData>
    <row r="1" spans="1:15" x14ac:dyDescent="0.3">
      <c r="A1" s="1" t="s">
        <v>20</v>
      </c>
    </row>
    <row r="2" spans="1:15" x14ac:dyDescent="0.3">
      <c r="A2" s="2" t="s">
        <v>21</v>
      </c>
    </row>
    <row r="4" spans="1:15" x14ac:dyDescent="0.3">
      <c r="A4" s="1" t="s">
        <v>22</v>
      </c>
    </row>
    <row r="5" spans="1:15" x14ac:dyDescent="0.3">
      <c r="A5" s="5" t="s">
        <v>23</v>
      </c>
      <c r="B5" s="14">
        <v>339.72</v>
      </c>
      <c r="O5" s="2" t="s">
        <v>24</v>
      </c>
    </row>
    <row r="6" spans="1:15" x14ac:dyDescent="0.3">
      <c r="A6" s="5" t="s">
        <v>25</v>
      </c>
      <c r="B6" s="15">
        <f>(B7-B8)/B9</f>
        <v>2651.5495086923656</v>
      </c>
      <c r="O6" s="2" t="s">
        <v>26</v>
      </c>
    </row>
    <row r="7" spans="1:15" x14ac:dyDescent="0.3">
      <c r="A7" s="5" t="s">
        <v>27</v>
      </c>
      <c r="B7" s="16">
        <v>372000</v>
      </c>
      <c r="O7" s="2" t="s">
        <v>28</v>
      </c>
    </row>
    <row r="8" spans="1:15" x14ac:dyDescent="0.3">
      <c r="A8" s="5" t="s">
        <v>29</v>
      </c>
      <c r="B8" s="16">
        <v>21200</v>
      </c>
      <c r="O8" s="2" t="s">
        <v>30</v>
      </c>
    </row>
    <row r="9" spans="1:15" x14ac:dyDescent="0.3">
      <c r="A9" s="5" t="s">
        <v>31</v>
      </c>
      <c r="B9" s="14">
        <v>132.30000000000001</v>
      </c>
      <c r="O9" s="2" t="s">
        <v>32</v>
      </c>
    </row>
    <row r="10" spans="1:15" x14ac:dyDescent="0.3">
      <c r="A10" s="5" t="s">
        <v>33</v>
      </c>
      <c r="B10" s="14">
        <v>112.64</v>
      </c>
      <c r="O10" s="2" t="s">
        <v>32</v>
      </c>
    </row>
    <row r="11" spans="1:15" x14ac:dyDescent="0.3">
      <c r="A11" s="5" t="s">
        <v>34</v>
      </c>
      <c r="B11" s="15">
        <f>B10*B6</f>
        <v>298670.53665910807</v>
      </c>
      <c r="O11" s="2" t="s">
        <v>35</v>
      </c>
    </row>
    <row r="12" spans="1:15" x14ac:dyDescent="0.3">
      <c r="A12" s="5" t="s">
        <v>36</v>
      </c>
      <c r="B12" s="17">
        <f>B5/B10</f>
        <v>3.0159801136363638</v>
      </c>
      <c r="O12" s="2" t="s">
        <v>35</v>
      </c>
    </row>
    <row r="13" spans="1:15" x14ac:dyDescent="0.3">
      <c r="A13" s="5" t="s">
        <v>37</v>
      </c>
      <c r="B13" s="18" t="s">
        <v>38</v>
      </c>
      <c r="O13" s="2" t="s">
        <v>39</v>
      </c>
    </row>
    <row r="14" spans="1:15" x14ac:dyDescent="0.3">
      <c r="A14" s="5" t="s">
        <v>40</v>
      </c>
      <c r="B14" s="19">
        <v>0.13900000000000001</v>
      </c>
      <c r="O14" s="2" t="s">
        <v>41</v>
      </c>
    </row>
    <row r="16" spans="1:15" x14ac:dyDescent="0.3">
      <c r="A16" s="1" t="s">
        <v>42</v>
      </c>
    </row>
    <row r="17" spans="1:15" x14ac:dyDescent="0.3">
      <c r="A17" s="5" t="s">
        <v>43</v>
      </c>
      <c r="B17" s="19">
        <v>5.0999999999999997E-2</v>
      </c>
      <c r="O17" s="2" t="s">
        <v>44</v>
      </c>
    </row>
    <row r="18" spans="1:15" x14ac:dyDescent="0.3">
      <c r="A18" s="5" t="s">
        <v>45</v>
      </c>
      <c r="B18" s="20">
        <v>1.0149999999999999</v>
      </c>
      <c r="O18" s="2" t="s">
        <v>46</v>
      </c>
    </row>
    <row r="19" spans="1:15" x14ac:dyDescent="0.3">
      <c r="A19" s="5" t="s">
        <v>47</v>
      </c>
      <c r="B19" s="21">
        <f>0.67*B18+0.33</f>
        <v>1.0100499999999999</v>
      </c>
      <c r="O19" s="2" t="s">
        <v>35</v>
      </c>
    </row>
    <row r="20" spans="1:15" x14ac:dyDescent="0.3">
      <c r="A20" s="5" t="s">
        <v>48</v>
      </c>
      <c r="B20" s="22">
        <v>0.05</v>
      </c>
      <c r="O20" s="2" t="s">
        <v>49</v>
      </c>
    </row>
    <row r="21" spans="1:15" x14ac:dyDescent="0.3">
      <c r="A21" s="5" t="s">
        <v>50</v>
      </c>
      <c r="B21" s="10">
        <f>B17+B19*B20</f>
        <v>0.1015025</v>
      </c>
      <c r="O21" s="2" t="s">
        <v>51</v>
      </c>
    </row>
    <row r="22" spans="1:15" x14ac:dyDescent="0.3">
      <c r="A22" s="5" t="s">
        <v>52</v>
      </c>
      <c r="B22" s="22">
        <v>0.04</v>
      </c>
      <c r="O22" s="2" t="s">
        <v>53</v>
      </c>
    </row>
    <row r="24" spans="1:15" x14ac:dyDescent="0.3">
      <c r="A24" s="1" t="s">
        <v>54</v>
      </c>
    </row>
    <row r="25" spans="1:15" x14ac:dyDescent="0.3">
      <c r="A25" s="5" t="s">
        <v>55</v>
      </c>
      <c r="B25" s="19">
        <v>0.5</v>
      </c>
      <c r="O25" s="2" t="s">
        <v>56</v>
      </c>
    </row>
    <row r="26" spans="1:15" x14ac:dyDescent="0.3">
      <c r="A26" s="5" t="s">
        <v>57</v>
      </c>
      <c r="B26" s="17">
        <f>B12</f>
        <v>3.0159801136363638</v>
      </c>
      <c r="O26" s="2" t="s">
        <v>58</v>
      </c>
    </row>
    <row r="28" spans="1:15" x14ac:dyDescent="0.3">
      <c r="A28" s="1" t="s">
        <v>59</v>
      </c>
    </row>
    <row r="29" spans="1:15" x14ac:dyDescent="0.3">
      <c r="A29" s="3"/>
      <c r="B29" s="4"/>
      <c r="C29" s="4"/>
      <c r="D29" s="4" t="s">
        <v>60</v>
      </c>
      <c r="E29" s="4" t="s">
        <v>61</v>
      </c>
      <c r="F29" s="4" t="s">
        <v>62</v>
      </c>
      <c r="G29" s="4" t="s">
        <v>63</v>
      </c>
      <c r="H29" s="4" t="s">
        <v>64</v>
      </c>
      <c r="I29" s="4" t="s">
        <v>65</v>
      </c>
      <c r="J29" s="4" t="s">
        <v>66</v>
      </c>
      <c r="K29" s="4" t="s">
        <v>67</v>
      </c>
      <c r="L29" s="4" t="s">
        <v>68</v>
      </c>
      <c r="M29" s="4" t="s">
        <v>69</v>
      </c>
    </row>
    <row r="30" spans="1:15" x14ac:dyDescent="0.3">
      <c r="A30" s="1" t="s">
        <v>70</v>
      </c>
      <c r="O30" s="2" t="s">
        <v>71</v>
      </c>
    </row>
    <row r="31" spans="1:15" x14ac:dyDescent="0.3">
      <c r="A31" s="5" t="s">
        <v>72</v>
      </c>
      <c r="D31" s="19">
        <v>0.19</v>
      </c>
      <c r="E31" s="19">
        <v>0.12</v>
      </c>
      <c r="F31" s="19">
        <v>0.11</v>
      </c>
      <c r="G31" s="19">
        <v>0.14000000000000001</v>
      </c>
      <c r="H31" s="19">
        <v>0.15</v>
      </c>
      <c r="I31" s="19">
        <v>0.15</v>
      </c>
      <c r="J31" s="19">
        <v>0.15</v>
      </c>
      <c r="K31" s="19">
        <v>0.15</v>
      </c>
      <c r="L31" s="19">
        <v>0.15</v>
      </c>
      <c r="M31" s="19">
        <v>0.15</v>
      </c>
    </row>
    <row r="32" spans="1:15" x14ac:dyDescent="0.3">
      <c r="A32" s="5" t="s">
        <v>73</v>
      </c>
      <c r="C32" s="22">
        <v>0.15</v>
      </c>
    </row>
    <row r="33" spans="1:15" x14ac:dyDescent="0.3">
      <c r="A33" s="5" t="s">
        <v>74</v>
      </c>
      <c r="C33" s="19">
        <v>0.45</v>
      </c>
    </row>
    <row r="35" spans="1:15" x14ac:dyDescent="0.3">
      <c r="A35" s="1" t="s">
        <v>75</v>
      </c>
      <c r="O35" s="2" t="s">
        <v>76</v>
      </c>
    </row>
    <row r="36" spans="1:15" x14ac:dyDescent="0.3">
      <c r="A36" s="5" t="s">
        <v>72</v>
      </c>
      <c r="D36" s="19">
        <v>0.2</v>
      </c>
      <c r="E36" s="19">
        <v>0.19</v>
      </c>
      <c r="F36" s="19">
        <v>0.18</v>
      </c>
      <c r="G36" s="19">
        <v>0.17499999999999999</v>
      </c>
      <c r="H36" s="19">
        <v>0.17</v>
      </c>
      <c r="I36" s="19">
        <v>0.17</v>
      </c>
      <c r="J36" s="19">
        <v>0.17</v>
      </c>
      <c r="K36" s="19">
        <v>0.17</v>
      </c>
      <c r="L36" s="19">
        <v>0.17</v>
      </c>
      <c r="M36" s="19">
        <v>0.17</v>
      </c>
      <c r="O36" s="2" t="s">
        <v>77</v>
      </c>
    </row>
    <row r="37" spans="1:15" x14ac:dyDescent="0.3">
      <c r="A37" s="5" t="s">
        <v>73</v>
      </c>
      <c r="C37" s="22">
        <v>0.17</v>
      </c>
    </row>
    <row r="38" spans="1:15" x14ac:dyDescent="0.3">
      <c r="A38" s="5" t="s">
        <v>74</v>
      </c>
      <c r="C38" s="19">
        <v>0.6</v>
      </c>
    </row>
    <row r="40" spans="1:15" x14ac:dyDescent="0.3">
      <c r="A40" s="1" t="s">
        <v>78</v>
      </c>
      <c r="O40" s="2" t="s">
        <v>79</v>
      </c>
    </row>
    <row r="41" spans="1:15" x14ac:dyDescent="0.3">
      <c r="A41" s="5" t="s">
        <v>72</v>
      </c>
      <c r="D41" s="19">
        <v>0.21</v>
      </c>
      <c r="E41" s="19">
        <v>0.21</v>
      </c>
      <c r="F41" s="19">
        <v>0.21</v>
      </c>
      <c r="G41" s="19">
        <v>0.21</v>
      </c>
      <c r="H41" s="19">
        <v>0.21</v>
      </c>
      <c r="I41" s="19">
        <v>0.20499999999999999</v>
      </c>
      <c r="J41" s="19">
        <v>0.2</v>
      </c>
      <c r="K41" s="19">
        <v>0.2</v>
      </c>
      <c r="L41" s="19">
        <v>0.2</v>
      </c>
      <c r="M41" s="19">
        <v>0.2</v>
      </c>
    </row>
    <row r="42" spans="1:15" x14ac:dyDescent="0.3">
      <c r="A42" s="5" t="s">
        <v>73</v>
      </c>
      <c r="C42" s="22">
        <v>0.2</v>
      </c>
    </row>
    <row r="43" spans="1:15" x14ac:dyDescent="0.3">
      <c r="A43" s="5" t="s">
        <v>74</v>
      </c>
      <c r="C43" s="19">
        <v>0.65</v>
      </c>
    </row>
    <row r="45" spans="1:15" x14ac:dyDescent="0.3">
      <c r="A45" s="1" t="s">
        <v>80</v>
      </c>
    </row>
    <row r="46" spans="1:15" x14ac:dyDescent="0.3">
      <c r="A46" s="5" t="s">
        <v>81</v>
      </c>
      <c r="B46" s="22">
        <v>0.25</v>
      </c>
    </row>
    <row r="47" spans="1:15" x14ac:dyDescent="0.3">
      <c r="A47" s="5" t="s">
        <v>82</v>
      </c>
      <c r="B47" s="22">
        <v>0.5</v>
      </c>
    </row>
    <row r="48" spans="1:15" x14ac:dyDescent="0.3">
      <c r="A48" s="5" t="s">
        <v>83</v>
      </c>
      <c r="B48" s="22">
        <v>0.25</v>
      </c>
    </row>
    <row r="49" spans="1:15" x14ac:dyDescent="0.3">
      <c r="A49" s="5" t="s">
        <v>84</v>
      </c>
      <c r="B49" s="10">
        <f>SUM(B46:B48)</f>
        <v>1</v>
      </c>
    </row>
    <row r="51" spans="1:15" x14ac:dyDescent="0.3">
      <c r="A51" s="1" t="s">
        <v>85</v>
      </c>
    </row>
    <row r="52" spans="1:15" x14ac:dyDescent="0.3">
      <c r="A52" s="5" t="s">
        <v>86</v>
      </c>
      <c r="B52" s="14">
        <v>372.57</v>
      </c>
      <c r="C52" s="23">
        <v>23</v>
      </c>
      <c r="O52" s="2" t="s">
        <v>87</v>
      </c>
    </row>
    <row r="53" spans="1:15" x14ac:dyDescent="0.3">
      <c r="A53" s="5" t="s">
        <v>88</v>
      </c>
      <c r="B53" s="14">
        <v>25.5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15" width="10" customWidth="1"/>
  </cols>
  <sheetData>
    <row r="1" spans="1:15" x14ac:dyDescent="0.3">
      <c r="A1" s="1" t="s">
        <v>89</v>
      </c>
    </row>
    <row r="2" spans="1:15" x14ac:dyDescent="0.3">
      <c r="A2" s="2" t="s">
        <v>90</v>
      </c>
    </row>
    <row r="4" spans="1:15" x14ac:dyDescent="0.3">
      <c r="A4" s="3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  <c r="O4" s="4" t="s">
        <v>105</v>
      </c>
    </row>
    <row r="5" spans="1:15" x14ac:dyDescent="0.3">
      <c r="A5" s="5" t="s">
        <v>106</v>
      </c>
      <c r="B5" s="16">
        <v>44910</v>
      </c>
      <c r="C5" s="16">
        <v>43319</v>
      </c>
      <c r="D5" s="16">
        <v>43634</v>
      </c>
      <c r="E5" s="16">
        <v>43510</v>
      </c>
      <c r="F5" s="16">
        <v>46083</v>
      </c>
      <c r="G5" s="16">
        <v>50097</v>
      </c>
      <c r="H5" s="16">
        <v>55059</v>
      </c>
      <c r="I5" s="16">
        <v>57245</v>
      </c>
      <c r="J5" s="16">
        <v>54563</v>
      </c>
      <c r="K5" s="16">
        <v>52311</v>
      </c>
      <c r="L5" s="16">
        <v>66710</v>
      </c>
      <c r="M5" s="16">
        <v>89267</v>
      </c>
      <c r="N5" s="16">
        <v>92583</v>
      </c>
      <c r="O5" s="16">
        <v>95443</v>
      </c>
    </row>
    <row r="6" spans="1:15" x14ac:dyDescent="0.3">
      <c r="A6" s="5" t="s">
        <v>107</v>
      </c>
      <c r="B6" s="16">
        <v>52121</v>
      </c>
      <c r="C6" s="16">
        <v>54048</v>
      </c>
      <c r="D6" s="16">
        <v>51478</v>
      </c>
      <c r="E6" s="16">
        <v>50033</v>
      </c>
      <c r="F6" s="16">
        <v>50486</v>
      </c>
      <c r="G6" s="16">
        <v>50608</v>
      </c>
      <c r="H6" s="16">
        <v>53724</v>
      </c>
      <c r="I6" s="16">
        <v>58475</v>
      </c>
      <c r="J6" s="16">
        <v>65388</v>
      </c>
      <c r="K6" s="16">
        <v>69338</v>
      </c>
      <c r="L6" s="16">
        <v>61985</v>
      </c>
      <c r="M6" s="16">
        <v>68837</v>
      </c>
      <c r="N6" s="16">
        <v>84973</v>
      </c>
      <c r="O6" s="16">
        <v>87004</v>
      </c>
    </row>
    <row r="7" spans="1:15" x14ac:dyDescent="0.3">
      <c r="A7" s="5" t="s">
        <v>108</v>
      </c>
      <c r="B7" s="16">
        <v>64729</v>
      </c>
      <c r="C7" s="16">
        <v>70467</v>
      </c>
      <c r="D7" s="16">
        <v>61274</v>
      </c>
      <c r="E7" s="16">
        <v>59014</v>
      </c>
      <c r="F7" s="16">
        <v>56672</v>
      </c>
      <c r="G7" s="16">
        <v>59515</v>
      </c>
      <c r="H7" s="16">
        <v>63148</v>
      </c>
      <c r="I7" s="16">
        <v>65269</v>
      </c>
      <c r="J7" s="16">
        <v>66656</v>
      </c>
      <c r="K7" s="16">
        <v>71343</v>
      </c>
      <c r="L7" s="16">
        <v>76140</v>
      </c>
      <c r="M7" s="16">
        <v>87172</v>
      </c>
      <c r="N7" s="16">
        <v>91797</v>
      </c>
      <c r="O7" s="16">
        <v>95640</v>
      </c>
    </row>
    <row r="8" spans="1:15" x14ac:dyDescent="0.3">
      <c r="A8" s="5" t="s">
        <v>109</v>
      </c>
      <c r="B8" s="16">
        <v>3385</v>
      </c>
      <c r="C8" s="16">
        <v>225</v>
      </c>
      <c r="D8" s="16">
        <v>3139</v>
      </c>
      <c r="E8" s="16">
        <v>3827</v>
      </c>
      <c r="F8" s="16">
        <v>5361</v>
      </c>
      <c r="G8" s="16">
        <v>5290</v>
      </c>
      <c r="H8" s="16">
        <v>4871</v>
      </c>
      <c r="I8" s="16">
        <v>5585</v>
      </c>
      <c r="J8" s="16">
        <v>17480</v>
      </c>
      <c r="K8" s="16">
        <v>-9256</v>
      </c>
      <c r="L8" s="16">
        <v>6389</v>
      </c>
      <c r="M8" s="16">
        <v>9320</v>
      </c>
      <c r="N8" s="16">
        <v>10678</v>
      </c>
      <c r="O8" s="16">
        <v>14212</v>
      </c>
    </row>
    <row r="9" spans="1:15" x14ac:dyDescent="0.3">
      <c r="A9" s="1" t="s">
        <v>110</v>
      </c>
      <c r="B9" s="16">
        <v>21284</v>
      </c>
      <c r="C9" s="16">
        <v>17886</v>
      </c>
      <c r="D9" s="16">
        <v>21745</v>
      </c>
      <c r="E9" s="16">
        <v>24442</v>
      </c>
      <c r="F9" s="16">
        <v>24733</v>
      </c>
      <c r="G9" s="16">
        <v>24441</v>
      </c>
      <c r="H9" s="16">
        <v>32474</v>
      </c>
      <c r="I9" s="16">
        <v>36431</v>
      </c>
      <c r="J9" s="16">
        <v>29131</v>
      </c>
      <c r="K9" s="16">
        <v>48334</v>
      </c>
      <c r="L9" s="16">
        <v>37676</v>
      </c>
      <c r="M9" s="16">
        <v>49552</v>
      </c>
      <c r="N9" s="16">
        <v>58471</v>
      </c>
      <c r="O9" s="16">
        <v>57048</v>
      </c>
    </row>
    <row r="10" spans="1:15" x14ac:dyDescent="0.3">
      <c r="A10" s="1" t="s">
        <v>111</v>
      </c>
      <c r="B10" s="16">
        <v>19877</v>
      </c>
      <c r="C10" s="16">
        <v>16557</v>
      </c>
      <c r="D10" s="16">
        <v>20077</v>
      </c>
      <c r="E10" s="16">
        <v>22651</v>
      </c>
      <c r="F10" s="16">
        <v>22834</v>
      </c>
      <c r="G10" s="16">
        <v>22567</v>
      </c>
      <c r="H10" s="16">
        <v>30709</v>
      </c>
      <c r="I10" s="16">
        <v>34642</v>
      </c>
      <c r="J10" s="16">
        <v>27410</v>
      </c>
      <c r="K10" s="16">
        <v>46503</v>
      </c>
      <c r="L10" s="16">
        <v>35892</v>
      </c>
      <c r="M10" s="16">
        <v>47760</v>
      </c>
      <c r="N10" s="16">
        <v>56868</v>
      </c>
      <c r="O10" s="16">
        <v>55681</v>
      </c>
    </row>
    <row r="11" spans="1:15" x14ac:dyDescent="0.3">
      <c r="A11" s="5" t="s">
        <v>112</v>
      </c>
      <c r="B11" s="16">
        <v>204069</v>
      </c>
      <c r="C11" s="16">
        <v>211178</v>
      </c>
      <c r="D11" s="16">
        <v>231727</v>
      </c>
      <c r="E11" s="16">
        <v>247573</v>
      </c>
      <c r="F11" s="16">
        <v>254190</v>
      </c>
      <c r="G11" s="16">
        <v>255693</v>
      </c>
      <c r="H11" s="16">
        <v>256515</v>
      </c>
      <c r="I11" s="16">
        <v>261330</v>
      </c>
      <c r="J11" s="16">
        <v>279354</v>
      </c>
      <c r="K11" s="16">
        <v>294127</v>
      </c>
      <c r="L11" s="16">
        <v>292332</v>
      </c>
      <c r="M11" s="16">
        <v>327878</v>
      </c>
      <c r="N11" s="16">
        <v>344758</v>
      </c>
      <c r="O11" s="16">
        <v>362438</v>
      </c>
    </row>
    <row r="12" spans="1:15" x14ac:dyDescent="0.3">
      <c r="A12" s="5" t="s">
        <v>113</v>
      </c>
      <c r="B12" s="16">
        <v>48175</v>
      </c>
      <c r="C12" s="16">
        <v>48081</v>
      </c>
      <c r="D12" s="16">
        <v>47647</v>
      </c>
      <c r="E12" s="16">
        <v>47325</v>
      </c>
      <c r="F12" s="16">
        <v>47288</v>
      </c>
      <c r="G12" s="16">
        <v>47507</v>
      </c>
      <c r="H12" s="16">
        <v>47471</v>
      </c>
      <c r="I12" s="16">
        <v>47823</v>
      </c>
      <c r="J12" s="16">
        <v>49248</v>
      </c>
      <c r="K12" s="16">
        <v>50315</v>
      </c>
      <c r="L12" s="16">
        <v>51662</v>
      </c>
      <c r="M12" s="16">
        <v>52634</v>
      </c>
      <c r="N12" s="16">
        <v>52565</v>
      </c>
      <c r="O12" s="16">
        <v>52731</v>
      </c>
    </row>
    <row r="13" spans="1:15" x14ac:dyDescent="0.3">
      <c r="A13" s="5" t="s">
        <v>114</v>
      </c>
      <c r="B13" s="14">
        <v>5.2</v>
      </c>
      <c r="C13" s="14">
        <v>4.34</v>
      </c>
      <c r="D13" s="14">
        <v>5.29</v>
      </c>
      <c r="E13" s="14">
        <v>6</v>
      </c>
      <c r="F13" s="14">
        <v>6.19</v>
      </c>
      <c r="G13" s="14">
        <v>6.31</v>
      </c>
      <c r="H13" s="14">
        <v>9</v>
      </c>
      <c r="I13" s="14">
        <v>10.72</v>
      </c>
      <c r="J13" s="14">
        <v>8.8800000000000008</v>
      </c>
      <c r="K13" s="14">
        <v>15.36</v>
      </c>
      <c r="L13" s="14">
        <v>12.09</v>
      </c>
      <c r="M13" s="14">
        <v>16.23</v>
      </c>
      <c r="N13" s="14">
        <v>19.75</v>
      </c>
      <c r="O13" s="14">
        <v>20.02</v>
      </c>
    </row>
    <row r="14" spans="1:15" x14ac:dyDescent="0.3">
      <c r="A14" s="5" t="s">
        <v>115</v>
      </c>
      <c r="B14" s="14">
        <v>1.2</v>
      </c>
      <c r="C14" s="14">
        <v>1.44</v>
      </c>
      <c r="D14" s="14">
        <v>1.58</v>
      </c>
      <c r="E14" s="14">
        <v>1.72</v>
      </c>
      <c r="F14" s="14">
        <v>1.88</v>
      </c>
      <c r="G14" s="14">
        <v>2.12</v>
      </c>
      <c r="H14" s="14">
        <v>2.72</v>
      </c>
      <c r="I14" s="14">
        <v>3.4</v>
      </c>
      <c r="J14" s="14">
        <v>3.6</v>
      </c>
      <c r="K14" s="14">
        <v>3.8</v>
      </c>
      <c r="L14" s="14">
        <v>4</v>
      </c>
      <c r="M14" s="14">
        <v>4.0999999999999996</v>
      </c>
      <c r="N14" s="14">
        <v>4.8</v>
      </c>
      <c r="O14" s="14">
        <v>5.8</v>
      </c>
    </row>
    <row r="15" spans="1:15" x14ac:dyDescent="0.3">
      <c r="A15" s="5" t="s">
        <v>116</v>
      </c>
      <c r="E15" s="16">
        <v>5616</v>
      </c>
      <c r="F15" s="16">
        <v>9082</v>
      </c>
      <c r="G15" s="16">
        <v>15410</v>
      </c>
      <c r="H15" s="16">
        <v>19983</v>
      </c>
      <c r="I15" s="16">
        <v>24001</v>
      </c>
      <c r="J15" s="16">
        <v>6517</v>
      </c>
      <c r="K15" s="16">
        <v>18408</v>
      </c>
      <c r="L15" s="16">
        <v>3162</v>
      </c>
      <c r="M15" s="16">
        <v>9824</v>
      </c>
      <c r="N15" s="16">
        <v>18830</v>
      </c>
      <c r="O15" s="16">
        <v>31591</v>
      </c>
    </row>
    <row r="16" spans="1:15" x14ac:dyDescent="0.3">
      <c r="A16" s="5" t="s">
        <v>117</v>
      </c>
      <c r="B16" s="16">
        <v>3822.2</v>
      </c>
      <c r="C16" s="16">
        <v>3814.9</v>
      </c>
      <c r="D16" s="16">
        <v>3797.5</v>
      </c>
      <c r="E16" s="16">
        <v>3773.6</v>
      </c>
      <c r="F16" s="16">
        <v>3690</v>
      </c>
      <c r="G16" s="16">
        <v>3576.8</v>
      </c>
      <c r="H16" s="16">
        <v>3414</v>
      </c>
      <c r="I16" s="16">
        <v>3230.4</v>
      </c>
      <c r="J16" s="16">
        <v>3087.4</v>
      </c>
      <c r="K16" s="16">
        <v>3026.6</v>
      </c>
      <c r="L16" s="16">
        <v>2970</v>
      </c>
      <c r="M16" s="16">
        <v>2943.1</v>
      </c>
      <c r="N16" s="16">
        <v>2879</v>
      </c>
      <c r="O16" s="16">
        <v>2781.5</v>
      </c>
    </row>
    <row r="18" spans="1:15" x14ac:dyDescent="0.3">
      <c r="A18" s="5" t="s">
        <v>118</v>
      </c>
      <c r="B18" s="10">
        <f t="shared" ref="B18:O18" si="0">B7/(B5+B6)</f>
        <v>0.66709608269522114</v>
      </c>
      <c r="C18" s="10">
        <f t="shared" si="0"/>
        <v>0.72372569761828953</v>
      </c>
      <c r="D18" s="10">
        <f t="shared" si="0"/>
        <v>0.64422996046765924</v>
      </c>
      <c r="E18" s="10">
        <f t="shared" si="0"/>
        <v>0.63087564007996322</v>
      </c>
      <c r="F18" s="10">
        <f t="shared" si="0"/>
        <v>0.5868549948741314</v>
      </c>
      <c r="G18" s="10">
        <f t="shared" si="0"/>
        <v>0.59098356586068224</v>
      </c>
      <c r="H18" s="10">
        <f t="shared" si="0"/>
        <v>0.58049511412628807</v>
      </c>
      <c r="I18" s="10">
        <f t="shared" si="0"/>
        <v>0.56402523332181131</v>
      </c>
      <c r="J18" s="10">
        <f t="shared" si="0"/>
        <v>0.55569357487640791</v>
      </c>
      <c r="K18" s="10">
        <f t="shared" si="0"/>
        <v>0.5864659799916152</v>
      </c>
      <c r="L18" s="10">
        <f t="shared" si="0"/>
        <v>0.59163137651035391</v>
      </c>
      <c r="M18" s="10">
        <f t="shared" si="0"/>
        <v>0.55135859940292464</v>
      </c>
      <c r="N18" s="10">
        <f t="shared" si="0"/>
        <v>0.51700308635022185</v>
      </c>
      <c r="O18" s="10">
        <f t="shared" si="0"/>
        <v>0.5242070299867907</v>
      </c>
    </row>
    <row r="19" spans="1:15" x14ac:dyDescent="0.3">
      <c r="A19" s="5" t="s">
        <v>119</v>
      </c>
      <c r="B19" s="10">
        <f t="shared" ref="B19:O19" si="1">B8/B5</f>
        <v>7.5372968158539305E-2</v>
      </c>
      <c r="C19" s="10">
        <f t="shared" si="1"/>
        <v>5.1940257161984344E-3</v>
      </c>
      <c r="D19" s="10">
        <f t="shared" si="1"/>
        <v>7.193931337947472E-2</v>
      </c>
      <c r="E19" s="10">
        <f t="shared" si="1"/>
        <v>8.7956791542174215E-2</v>
      </c>
      <c r="F19" s="10">
        <f t="shared" si="1"/>
        <v>0.11633357203307076</v>
      </c>
      <c r="G19" s="10">
        <f t="shared" si="1"/>
        <v>0.10559514541788929</v>
      </c>
      <c r="H19" s="10">
        <f t="shared" si="1"/>
        <v>8.8468733540383954E-2</v>
      </c>
      <c r="I19" s="10">
        <f t="shared" si="1"/>
        <v>9.7563105948117734E-2</v>
      </c>
      <c r="J19" s="10">
        <f t="shared" si="1"/>
        <v>0.32036361637006761</v>
      </c>
      <c r="K19" s="10">
        <f t="shared" si="1"/>
        <v>-0.17694175221272773</v>
      </c>
      <c r="L19" s="10">
        <f t="shared" si="1"/>
        <v>9.5772747713985903E-2</v>
      </c>
      <c r="M19" s="10">
        <f t="shared" si="1"/>
        <v>0.10440588347317598</v>
      </c>
      <c r="N19" s="10">
        <f t="shared" si="1"/>
        <v>0.11533434863851895</v>
      </c>
      <c r="O19" s="10">
        <f t="shared" si="1"/>
        <v>0.14890562953804889</v>
      </c>
    </row>
    <row r="20" spans="1:15" x14ac:dyDescent="0.3">
      <c r="A20" s="5" t="s">
        <v>120</v>
      </c>
      <c r="B20" s="10">
        <f t="shared" ref="B20:O20" si="2">B9/B11</f>
        <v>0.10429805604966948</v>
      </c>
      <c r="C20" s="10">
        <f t="shared" si="2"/>
        <v>8.4696322533597254E-2</v>
      </c>
      <c r="D20" s="10">
        <f t="shared" si="2"/>
        <v>9.3838870740138178E-2</v>
      </c>
      <c r="E20" s="10">
        <f t="shared" si="2"/>
        <v>9.87264362430475E-2</v>
      </c>
      <c r="F20" s="10">
        <f t="shared" si="2"/>
        <v>9.7301231362366736E-2</v>
      </c>
      <c r="G20" s="10">
        <f t="shared" si="2"/>
        <v>9.558728631601178E-2</v>
      </c>
      <c r="H20" s="10">
        <f t="shared" si="2"/>
        <v>0.12659688517240708</v>
      </c>
      <c r="I20" s="10">
        <f t="shared" si="2"/>
        <v>0.13940611487391422</v>
      </c>
      <c r="J20" s="10">
        <f t="shared" si="2"/>
        <v>0.10427987428137775</v>
      </c>
      <c r="K20" s="10">
        <f t="shared" si="2"/>
        <v>0.16433037429409744</v>
      </c>
      <c r="L20" s="10">
        <f t="shared" si="2"/>
        <v>0.12888086148625535</v>
      </c>
      <c r="M20" s="10">
        <f t="shared" si="2"/>
        <v>0.15112938349020064</v>
      </c>
      <c r="N20" s="10">
        <f t="shared" si="2"/>
        <v>0.16960012530528662</v>
      </c>
      <c r="O20" s="10">
        <f t="shared" si="2"/>
        <v>0.15740071405316219</v>
      </c>
    </row>
    <row r="21" spans="1:15" x14ac:dyDescent="0.3">
      <c r="A21" s="5" t="s">
        <v>121</v>
      </c>
      <c r="B21" s="10">
        <f t="shared" ref="B21:O21" si="3">B14/B13</f>
        <v>0.23076923076923075</v>
      </c>
      <c r="C21" s="10">
        <f t="shared" si="3"/>
        <v>0.33179723502304148</v>
      </c>
      <c r="D21" s="10">
        <f t="shared" si="3"/>
        <v>0.29867674858223064</v>
      </c>
      <c r="E21" s="10">
        <f t="shared" si="3"/>
        <v>0.28666666666666668</v>
      </c>
      <c r="F21" s="10">
        <f t="shared" si="3"/>
        <v>0.30371567043618736</v>
      </c>
      <c r="G21" s="10">
        <f t="shared" si="3"/>
        <v>0.33597464342313793</v>
      </c>
      <c r="H21" s="10">
        <f t="shared" si="3"/>
        <v>0.30222222222222223</v>
      </c>
      <c r="I21" s="10">
        <f t="shared" si="3"/>
        <v>0.31716417910447758</v>
      </c>
      <c r="J21" s="10">
        <f t="shared" si="3"/>
        <v>0.40540540540540537</v>
      </c>
      <c r="K21" s="10">
        <f t="shared" si="3"/>
        <v>0.24739583333333334</v>
      </c>
      <c r="L21" s="10">
        <f t="shared" si="3"/>
        <v>0.33085194375516958</v>
      </c>
      <c r="M21" s="10">
        <f t="shared" si="3"/>
        <v>0.25261860751694393</v>
      </c>
      <c r="N21" s="10">
        <f t="shared" si="3"/>
        <v>0.24303797468354429</v>
      </c>
      <c r="O21" s="10">
        <f t="shared" si="3"/>
        <v>0.28971028971028973</v>
      </c>
    </row>
    <row r="23" spans="1:15" x14ac:dyDescent="0.3">
      <c r="A23" s="2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4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13" width="10" customWidth="1"/>
  </cols>
  <sheetData>
    <row r="1" spans="1:13" x14ac:dyDescent="0.3">
      <c r="A1" s="1" t="s">
        <v>123</v>
      </c>
    </row>
    <row r="3" spans="1:13" x14ac:dyDescent="0.3">
      <c r="A3" s="1" t="s">
        <v>70</v>
      </c>
    </row>
    <row r="4" spans="1:13" x14ac:dyDescent="0.3">
      <c r="A4" s="3" t="s">
        <v>91</v>
      </c>
      <c r="B4" s="4"/>
      <c r="C4" s="4" t="s">
        <v>124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  <c r="K4" s="4" t="s">
        <v>67</v>
      </c>
      <c r="L4" s="4" t="s">
        <v>68</v>
      </c>
      <c r="M4" s="4" t="s">
        <v>69</v>
      </c>
    </row>
    <row r="5" spans="1:13" x14ac:dyDescent="0.3">
      <c r="A5" s="5" t="s">
        <v>125</v>
      </c>
      <c r="D5" s="6">
        <f>Inputs!D31</f>
        <v>0.19</v>
      </c>
      <c r="E5" s="6">
        <f>Inputs!E31</f>
        <v>0.12</v>
      </c>
      <c r="F5" s="6">
        <f>Inputs!F31</f>
        <v>0.11</v>
      </c>
      <c r="G5" s="6">
        <f>Inputs!G31</f>
        <v>0.14000000000000001</v>
      </c>
      <c r="H5" s="6">
        <f>Inputs!H31</f>
        <v>0.15</v>
      </c>
      <c r="I5" s="6">
        <f>Inputs!I31</f>
        <v>0.15</v>
      </c>
      <c r="J5" s="6">
        <f>Inputs!J31</f>
        <v>0.15</v>
      </c>
      <c r="K5" s="6">
        <f>Inputs!K31</f>
        <v>0.15</v>
      </c>
      <c r="L5" s="6">
        <f>Inputs!L31</f>
        <v>0.15</v>
      </c>
      <c r="M5" s="6">
        <f>Inputs!M31</f>
        <v>0.15</v>
      </c>
    </row>
    <row r="6" spans="1:13" x14ac:dyDescent="0.3">
      <c r="A6" s="5" t="s">
        <v>126</v>
      </c>
      <c r="D6" s="15">
        <f t="shared" ref="D6:M6" si="0">C9</f>
        <v>298670.53665910807</v>
      </c>
      <c r="E6" s="15">
        <f t="shared" si="0"/>
        <v>329881.60773998487</v>
      </c>
      <c r="F6" s="15">
        <f t="shared" si="0"/>
        <v>351653.79385082389</v>
      </c>
      <c r="G6" s="15">
        <f t="shared" si="0"/>
        <v>372928.84837879869</v>
      </c>
      <c r="H6" s="15">
        <f t="shared" si="0"/>
        <v>401644.36970396619</v>
      </c>
      <c r="I6" s="15">
        <f t="shared" si="0"/>
        <v>434780.03020454344</v>
      </c>
      <c r="J6" s="15">
        <f t="shared" si="0"/>
        <v>470649.38269641827</v>
      </c>
      <c r="K6" s="15">
        <f t="shared" si="0"/>
        <v>509477.9567688728</v>
      </c>
      <c r="L6" s="15">
        <f t="shared" si="0"/>
        <v>551509.88820230484</v>
      </c>
      <c r="M6" s="15">
        <f t="shared" si="0"/>
        <v>597009.45397899498</v>
      </c>
    </row>
    <row r="7" spans="1:13" x14ac:dyDescent="0.3">
      <c r="A7" s="1" t="s">
        <v>111</v>
      </c>
      <c r="D7" s="15">
        <f t="shared" ref="D7:M7" si="1">D5*D6</f>
        <v>56747.401965230536</v>
      </c>
      <c r="E7" s="15">
        <f t="shared" si="1"/>
        <v>39585.792928798182</v>
      </c>
      <c r="F7" s="15">
        <f t="shared" si="1"/>
        <v>38681.917323590627</v>
      </c>
      <c r="G7" s="15">
        <f t="shared" si="1"/>
        <v>52210.038773031825</v>
      </c>
      <c r="H7" s="15">
        <f t="shared" si="1"/>
        <v>60246.655455594926</v>
      </c>
      <c r="I7" s="15">
        <f t="shared" si="1"/>
        <v>65217.004530681515</v>
      </c>
      <c r="J7" s="15">
        <f t="shared" si="1"/>
        <v>70597.407404462734</v>
      </c>
      <c r="K7" s="15">
        <f t="shared" si="1"/>
        <v>76421.693515330917</v>
      </c>
      <c r="L7" s="15">
        <f t="shared" si="1"/>
        <v>82726.483230345722</v>
      </c>
      <c r="M7" s="15">
        <f t="shared" si="1"/>
        <v>89551.418096849244</v>
      </c>
    </row>
    <row r="8" spans="1:13" x14ac:dyDescent="0.3">
      <c r="A8" s="5" t="s">
        <v>127</v>
      </c>
      <c r="D8" s="15">
        <f>-Inputs!$C$33*D7</f>
        <v>-25536.330884353742</v>
      </c>
      <c r="E8" s="15">
        <f>-Inputs!$C$33*E7</f>
        <v>-17813.606817959182</v>
      </c>
      <c r="F8" s="15">
        <f>-Inputs!$C$33*F7</f>
        <v>-17406.862795615783</v>
      </c>
      <c r="G8" s="15">
        <f>-Inputs!$C$33*G7</f>
        <v>-23494.51744786432</v>
      </c>
      <c r="H8" s="15">
        <f>-Inputs!$C$33*H7</f>
        <v>-27110.994955017719</v>
      </c>
      <c r="I8" s="15">
        <f>-Inputs!$C$33*I7</f>
        <v>-29347.652038806682</v>
      </c>
      <c r="J8" s="15">
        <f>-Inputs!$C$33*J7</f>
        <v>-31768.833332008231</v>
      </c>
      <c r="K8" s="15">
        <f>-Inputs!$C$33*K7</f>
        <v>-34389.762081898916</v>
      </c>
      <c r="L8" s="15">
        <f>-Inputs!$C$33*L7</f>
        <v>-37226.917453655573</v>
      </c>
      <c r="M8" s="15">
        <f>-Inputs!$C$33*M7</f>
        <v>-40298.13814358216</v>
      </c>
    </row>
    <row r="9" spans="1:13" x14ac:dyDescent="0.3">
      <c r="A9" s="5" t="s">
        <v>128</v>
      </c>
      <c r="C9" s="7">
        <f>Inputs!$B$11</f>
        <v>298670.53665910807</v>
      </c>
      <c r="D9" s="15">
        <f t="shared" ref="D9:M9" si="2">D6+D7+D8</f>
        <v>329881.60773998487</v>
      </c>
      <c r="E9" s="15">
        <f t="shared" si="2"/>
        <v>351653.79385082389</v>
      </c>
      <c r="F9" s="15">
        <f t="shared" si="2"/>
        <v>372928.84837879869</v>
      </c>
      <c r="G9" s="15">
        <f t="shared" si="2"/>
        <v>401644.36970396619</v>
      </c>
      <c r="H9" s="15">
        <f t="shared" si="2"/>
        <v>434780.03020454344</v>
      </c>
      <c r="I9" s="15">
        <f t="shared" si="2"/>
        <v>470649.38269641827</v>
      </c>
      <c r="J9" s="15">
        <f t="shared" si="2"/>
        <v>509477.9567688728</v>
      </c>
      <c r="K9" s="15">
        <f t="shared" si="2"/>
        <v>551509.88820230484</v>
      </c>
      <c r="L9" s="15">
        <f t="shared" si="2"/>
        <v>597009.45397899498</v>
      </c>
      <c r="M9" s="15">
        <f t="shared" si="2"/>
        <v>646262.73393226205</v>
      </c>
    </row>
    <row r="10" spans="1:13" x14ac:dyDescent="0.3">
      <c r="A10" s="5" t="s">
        <v>129</v>
      </c>
      <c r="D10" s="15">
        <f>-Inputs!$B$21*D6</f>
        <v>-30315.806147241114</v>
      </c>
      <c r="E10" s="15">
        <f>-Inputs!$B$21*E6</f>
        <v>-33483.807889627817</v>
      </c>
      <c r="F10" s="15">
        <f>-Inputs!$B$21*F6</f>
        <v>-35693.73921034325</v>
      </c>
      <c r="G10" s="15">
        <f>-Inputs!$B$21*G6</f>
        <v>-37853.210432569016</v>
      </c>
      <c r="H10" s="15">
        <f>-Inputs!$B$21*H6</f>
        <v>-40767.907635876829</v>
      </c>
      <c r="I10" s="15">
        <f>-Inputs!$B$21*I6</f>
        <v>-44131.260015836669</v>
      </c>
      <c r="J10" s="15">
        <f>-Inputs!$B$21*J6</f>
        <v>-47772.088967143194</v>
      </c>
      <c r="K10" s="15">
        <f>-Inputs!$B$21*K6</f>
        <v>-51713.28630693251</v>
      </c>
      <c r="L10" s="15">
        <f>-Inputs!$B$21*L6</f>
        <v>-55979.632427254444</v>
      </c>
      <c r="M10" s="15">
        <f>-Inputs!$B$21*M6</f>
        <v>-60597.952102502932</v>
      </c>
    </row>
    <row r="11" spans="1:13" x14ac:dyDescent="0.3">
      <c r="A11" s="1" t="s">
        <v>130</v>
      </c>
      <c r="D11" s="24">
        <f t="shared" ref="D11:M11" si="3">D7+D10</f>
        <v>26431.595817989422</v>
      </c>
      <c r="E11" s="24">
        <f t="shared" si="3"/>
        <v>6101.9850391703658</v>
      </c>
      <c r="F11" s="24">
        <f t="shared" si="3"/>
        <v>2988.178113247377</v>
      </c>
      <c r="G11" s="24">
        <f t="shared" si="3"/>
        <v>14356.828340462809</v>
      </c>
      <c r="H11" s="24">
        <f t="shared" si="3"/>
        <v>19478.747819718097</v>
      </c>
      <c r="I11" s="24">
        <f t="shared" si="3"/>
        <v>21085.744514844846</v>
      </c>
      <c r="J11" s="24">
        <f t="shared" si="3"/>
        <v>22825.31843731954</v>
      </c>
      <c r="K11" s="24">
        <f t="shared" si="3"/>
        <v>24708.407208398407</v>
      </c>
      <c r="L11" s="24">
        <f t="shared" si="3"/>
        <v>26746.850803091278</v>
      </c>
      <c r="M11" s="24">
        <f t="shared" si="3"/>
        <v>28953.465994346312</v>
      </c>
    </row>
    <row r="12" spans="1:13" x14ac:dyDescent="0.3">
      <c r="A12" s="5" t="s">
        <v>131</v>
      </c>
      <c r="D12" s="21">
        <f>1/(1+Inputs!$B$21)^1</f>
        <v>0.90785086733802234</v>
      </c>
      <c r="E12" s="21">
        <f>1/(1+Inputs!$B$21)^2</f>
        <v>0.82419319732639951</v>
      </c>
      <c r="F12" s="21">
        <f>1/(1+Inputs!$B$21)^3</f>
        <v>0.74824450904686957</v>
      </c>
      <c r="G12" s="21">
        <f>1/(1+Inputs!$B$21)^4</f>
        <v>0.6792944265191132</v>
      </c>
      <c r="H12" s="21">
        <f>1/(1+Inputs!$B$21)^5</f>
        <v>0.61669803429326142</v>
      </c>
      <c r="I12" s="21">
        <f>1/(1+Inputs!$B$21)^6</f>
        <v>0.5598698453187908</v>
      </c>
      <c r="J12" s="21">
        <f>1/(1+Inputs!$B$21)^7</f>
        <v>0.50827832466906875</v>
      </c>
      <c r="K12" s="21">
        <f>1/(1+Inputs!$B$21)^8</f>
        <v>0.46144091789993091</v>
      </c>
      <c r="L12" s="21">
        <f>1/(1+Inputs!$B$21)^9</f>
        <v>0.41891953754070549</v>
      </c>
      <c r="M12" s="21">
        <f>1/(1+Inputs!$B$21)^10</f>
        <v>0.38031646550117271</v>
      </c>
    </row>
    <row r="13" spans="1:13" x14ac:dyDescent="0.3">
      <c r="A13" s="5" t="s">
        <v>132</v>
      </c>
      <c r="D13" s="15">
        <f t="shared" ref="D13:M13" si="4">D11*D12</f>
        <v>23995.947188489739</v>
      </c>
      <c r="E13" s="15">
        <f t="shared" si="4"/>
        <v>5029.2145594716785</v>
      </c>
      <c r="F13" s="15">
        <f t="shared" si="4"/>
        <v>2235.8878652913845</v>
      </c>
      <c r="G13" s="15">
        <f t="shared" si="4"/>
        <v>9752.5134741680358</v>
      </c>
      <c r="H13" s="15">
        <f t="shared" si="4"/>
        <v>12012.505490914302</v>
      </c>
      <c r="I13" s="15">
        <f t="shared" si="4"/>
        <v>11805.272519957725</v>
      </c>
      <c r="J13" s="15">
        <f t="shared" si="4"/>
        <v>11601.614615358782</v>
      </c>
      <c r="K13" s="15">
        <f t="shared" si="4"/>
        <v>11401.47010208863</v>
      </c>
      <c r="L13" s="15">
        <f t="shared" si="4"/>
        <v>11204.778369101245</v>
      </c>
      <c r="M13" s="15">
        <f t="shared" si="4"/>
        <v>11011.479850978187</v>
      </c>
    </row>
    <row r="15" spans="1:13" x14ac:dyDescent="0.3">
      <c r="A15" s="5" t="s">
        <v>7</v>
      </c>
      <c r="C15" s="6">
        <f>Inputs!C32</f>
        <v>0.15</v>
      </c>
    </row>
    <row r="16" spans="1:13" x14ac:dyDescent="0.3">
      <c r="A16" s="5" t="s">
        <v>133</v>
      </c>
      <c r="C16" s="15">
        <f>(C15-Inputs!$B$21)*M9</f>
        <v>31342.126938879879</v>
      </c>
    </row>
    <row r="17" spans="1:13" x14ac:dyDescent="0.3">
      <c r="A17" s="5" t="s">
        <v>134</v>
      </c>
      <c r="C17" s="15">
        <f>C16/(Inputs!$B$21-Inputs!$B$22)</f>
        <v>509607.36456046312</v>
      </c>
    </row>
    <row r="18" spans="1:13" x14ac:dyDescent="0.3">
      <c r="A18" s="5" t="s">
        <v>135</v>
      </c>
      <c r="C18" s="15">
        <f>C17*M12</f>
        <v>193812.07168300293</v>
      </c>
    </row>
    <row r="19" spans="1:13" x14ac:dyDescent="0.3">
      <c r="A19" s="5" t="s">
        <v>136</v>
      </c>
      <c r="C19" s="15">
        <f>SUM(D13:M13)</f>
        <v>110050.68403581969</v>
      </c>
    </row>
    <row r="20" spans="1:13" x14ac:dyDescent="0.3">
      <c r="A20" s="5" t="s">
        <v>137</v>
      </c>
      <c r="C20" s="7">
        <f>Inputs!$B$11</f>
        <v>298670.53665910807</v>
      </c>
    </row>
    <row r="21" spans="1:13" x14ac:dyDescent="0.3">
      <c r="A21" s="1" t="s">
        <v>8</v>
      </c>
      <c r="C21" s="24">
        <f>C20+C19+C18</f>
        <v>602533.2923779306</v>
      </c>
    </row>
    <row r="22" spans="1:13" x14ac:dyDescent="0.3">
      <c r="A22" s="1" t="s">
        <v>9</v>
      </c>
      <c r="C22" s="9">
        <f>C21/Inputs!$B$6</f>
        <v>227.23818295781135</v>
      </c>
    </row>
    <row r="23" spans="1:13" x14ac:dyDescent="0.3">
      <c r="A23" s="5" t="s">
        <v>138</v>
      </c>
      <c r="C23" s="10">
        <f>C22/Inputs!$B$5-1</f>
        <v>-0.33110154551450799</v>
      </c>
    </row>
    <row r="24" spans="1:13" x14ac:dyDescent="0.3">
      <c r="A24" s="5" t="s">
        <v>11</v>
      </c>
      <c r="C24" s="17">
        <f>C22/Inputs!$B$10</f>
        <v>2.0173844367703424</v>
      </c>
    </row>
    <row r="25" spans="1:13" x14ac:dyDescent="0.3">
      <c r="A25" s="5" t="s">
        <v>139</v>
      </c>
      <c r="C25" s="10">
        <f>C18/C21</f>
        <v>0.32166201292896696</v>
      </c>
    </row>
    <row r="28" spans="1:13" x14ac:dyDescent="0.3">
      <c r="A28" s="1" t="s">
        <v>75</v>
      </c>
    </row>
    <row r="29" spans="1:13" x14ac:dyDescent="0.3">
      <c r="A29" s="3" t="s">
        <v>91</v>
      </c>
      <c r="B29" s="4"/>
      <c r="C29" s="4" t="s">
        <v>124</v>
      </c>
      <c r="D29" s="4" t="s">
        <v>60</v>
      </c>
      <c r="E29" s="4" t="s">
        <v>61</v>
      </c>
      <c r="F29" s="4" t="s">
        <v>62</v>
      </c>
      <c r="G29" s="4" t="s">
        <v>63</v>
      </c>
      <c r="H29" s="4" t="s">
        <v>64</v>
      </c>
      <c r="I29" s="4" t="s">
        <v>65</v>
      </c>
      <c r="J29" s="4" t="s">
        <v>66</v>
      </c>
      <c r="K29" s="4" t="s">
        <v>67</v>
      </c>
      <c r="L29" s="4" t="s">
        <v>68</v>
      </c>
      <c r="M29" s="4" t="s">
        <v>69</v>
      </c>
    </row>
    <row r="30" spans="1:13" x14ac:dyDescent="0.3">
      <c r="A30" s="5" t="s">
        <v>125</v>
      </c>
      <c r="D30" s="6">
        <f>Inputs!D36</f>
        <v>0.2</v>
      </c>
      <c r="E30" s="6">
        <f>Inputs!E36</f>
        <v>0.19</v>
      </c>
      <c r="F30" s="6">
        <f>Inputs!F36</f>
        <v>0.18</v>
      </c>
      <c r="G30" s="6">
        <f>Inputs!G36</f>
        <v>0.17499999999999999</v>
      </c>
      <c r="H30" s="6">
        <f>Inputs!H36</f>
        <v>0.17</v>
      </c>
      <c r="I30" s="6">
        <f>Inputs!I36</f>
        <v>0.17</v>
      </c>
      <c r="J30" s="6">
        <f>Inputs!J36</f>
        <v>0.17</v>
      </c>
      <c r="K30" s="6">
        <f>Inputs!K36</f>
        <v>0.17</v>
      </c>
      <c r="L30" s="6">
        <f>Inputs!L36</f>
        <v>0.17</v>
      </c>
      <c r="M30" s="6">
        <f>Inputs!M36</f>
        <v>0.17</v>
      </c>
    </row>
    <row r="31" spans="1:13" x14ac:dyDescent="0.3">
      <c r="A31" s="5" t="s">
        <v>126</v>
      </c>
      <c r="D31" s="15">
        <f t="shared" ref="D31:M31" si="5">C34</f>
        <v>298670.53665910807</v>
      </c>
      <c r="E31" s="15">
        <f t="shared" si="5"/>
        <v>322564.17959183676</v>
      </c>
      <c r="F31" s="15">
        <f t="shared" si="5"/>
        <v>347079.05724081636</v>
      </c>
      <c r="G31" s="15">
        <f t="shared" si="5"/>
        <v>372068.7493621551</v>
      </c>
      <c r="H31" s="15">
        <f t="shared" si="5"/>
        <v>398113.56181750598</v>
      </c>
      <c r="I31" s="15">
        <f t="shared" si="5"/>
        <v>425185.28402109636</v>
      </c>
      <c r="J31" s="15">
        <f t="shared" si="5"/>
        <v>454097.88333453092</v>
      </c>
      <c r="K31" s="15">
        <f t="shared" si="5"/>
        <v>484976.53940127901</v>
      </c>
      <c r="L31" s="15">
        <f t="shared" si="5"/>
        <v>517954.94408056594</v>
      </c>
      <c r="M31" s="15">
        <f t="shared" si="5"/>
        <v>553175.88027804438</v>
      </c>
    </row>
    <row r="32" spans="1:13" x14ac:dyDescent="0.3">
      <c r="A32" s="1" t="s">
        <v>111</v>
      </c>
      <c r="D32" s="15">
        <f t="shared" ref="D32:M32" si="6">D30*D31</f>
        <v>59734.107331821615</v>
      </c>
      <c r="E32" s="15">
        <f t="shared" si="6"/>
        <v>61287.194122448986</v>
      </c>
      <c r="F32" s="15">
        <f t="shared" si="6"/>
        <v>62474.230303346943</v>
      </c>
      <c r="G32" s="15">
        <f t="shared" si="6"/>
        <v>65112.03113837714</v>
      </c>
      <c r="H32" s="15">
        <f t="shared" si="6"/>
        <v>67679.305508976016</v>
      </c>
      <c r="I32" s="15">
        <f t="shared" si="6"/>
        <v>72281.498283586392</v>
      </c>
      <c r="J32" s="15">
        <f t="shared" si="6"/>
        <v>77196.64016687026</v>
      </c>
      <c r="K32" s="15">
        <f t="shared" si="6"/>
        <v>82446.011698217437</v>
      </c>
      <c r="L32" s="15">
        <f t="shared" si="6"/>
        <v>88052.340493696218</v>
      </c>
      <c r="M32" s="15">
        <f t="shared" si="6"/>
        <v>94039.89964726755</v>
      </c>
    </row>
    <row r="33" spans="1:13" x14ac:dyDescent="0.3">
      <c r="A33" s="5" t="s">
        <v>127</v>
      </c>
      <c r="D33" s="15">
        <f>-Inputs!$C$38*D32</f>
        <v>-35840.464399092969</v>
      </c>
      <c r="E33" s="15">
        <f>-Inputs!$C$38*E32</f>
        <v>-36772.316473469393</v>
      </c>
      <c r="F33" s="15">
        <f>-Inputs!$C$38*F32</f>
        <v>-37484.538182008167</v>
      </c>
      <c r="G33" s="15">
        <f>-Inputs!$C$38*G32</f>
        <v>-39067.21868302628</v>
      </c>
      <c r="H33" s="15">
        <f>-Inputs!$C$38*H32</f>
        <v>-40607.583305385611</v>
      </c>
      <c r="I33" s="15">
        <f>-Inputs!$C$38*I32</f>
        <v>-43368.898970151837</v>
      </c>
      <c r="J33" s="15">
        <f>-Inputs!$C$38*J32</f>
        <v>-46317.984100122158</v>
      </c>
      <c r="K33" s="15">
        <f>-Inputs!$C$38*K32</f>
        <v>-49467.607018930459</v>
      </c>
      <c r="L33" s="15">
        <f>-Inputs!$C$38*L32</f>
        <v>-52831.404296217726</v>
      </c>
      <c r="M33" s="15">
        <f>-Inputs!$C$38*M32</f>
        <v>-56423.939788360527</v>
      </c>
    </row>
    <row r="34" spans="1:13" x14ac:dyDescent="0.3">
      <c r="A34" s="5" t="s">
        <v>128</v>
      </c>
      <c r="C34" s="7">
        <f>Inputs!$B$11</f>
        <v>298670.53665910807</v>
      </c>
      <c r="D34" s="15">
        <f t="shared" ref="D34:M34" si="7">D31+D32+D33</f>
        <v>322564.17959183676</v>
      </c>
      <c r="E34" s="15">
        <f t="shared" si="7"/>
        <v>347079.05724081636</v>
      </c>
      <c r="F34" s="15">
        <f t="shared" si="7"/>
        <v>372068.7493621551</v>
      </c>
      <c r="G34" s="15">
        <f t="shared" si="7"/>
        <v>398113.56181750598</v>
      </c>
      <c r="H34" s="15">
        <f t="shared" si="7"/>
        <v>425185.28402109636</v>
      </c>
      <c r="I34" s="15">
        <f t="shared" si="7"/>
        <v>454097.88333453092</v>
      </c>
      <c r="J34" s="15">
        <f t="shared" si="7"/>
        <v>484976.53940127901</v>
      </c>
      <c r="K34" s="15">
        <f t="shared" si="7"/>
        <v>517954.94408056594</v>
      </c>
      <c r="L34" s="15">
        <f t="shared" si="7"/>
        <v>553175.88027804438</v>
      </c>
      <c r="M34" s="15">
        <f t="shared" si="7"/>
        <v>590791.84013695142</v>
      </c>
    </row>
    <row r="35" spans="1:13" x14ac:dyDescent="0.3">
      <c r="A35" s="5" t="s">
        <v>129</v>
      </c>
      <c r="D35" s="15">
        <f>-Inputs!$B$21*D31</f>
        <v>-30315.806147241114</v>
      </c>
      <c r="E35" s="15">
        <f>-Inputs!$B$21*E31</f>
        <v>-32741.07063902041</v>
      </c>
      <c r="F35" s="15">
        <f>-Inputs!$B$21*F31</f>
        <v>-35229.392007585964</v>
      </c>
      <c r="G35" s="15">
        <f>-Inputs!$B$21*G31</f>
        <v>-37765.908232132148</v>
      </c>
      <c r="H35" s="15">
        <f>-Inputs!$B$21*H31</f>
        <v>-40409.521808381396</v>
      </c>
      <c r="I35" s="15">
        <f>-Inputs!$B$21*I31</f>
        <v>-43157.36929135133</v>
      </c>
      <c r="J35" s="15">
        <f>-Inputs!$B$21*J31</f>
        <v>-46092.070403163227</v>
      </c>
      <c r="K35" s="15">
        <f>-Inputs!$B$21*K31</f>
        <v>-49226.331190578319</v>
      </c>
      <c r="L35" s="15">
        <f>-Inputs!$B$21*L31</f>
        <v>-52573.721711537641</v>
      </c>
      <c r="M35" s="15">
        <f>-Inputs!$B$21*M31</f>
        <v>-56148.7347879222</v>
      </c>
    </row>
    <row r="36" spans="1:13" x14ac:dyDescent="0.3">
      <c r="A36" s="1" t="s">
        <v>130</v>
      </c>
      <c r="D36" s="24">
        <f t="shared" ref="D36:M36" si="8">D32+D35</f>
        <v>29418.301184580501</v>
      </c>
      <c r="E36" s="24">
        <f t="shared" si="8"/>
        <v>28546.123483428575</v>
      </c>
      <c r="F36" s="24">
        <f t="shared" si="8"/>
        <v>27244.838295760979</v>
      </c>
      <c r="G36" s="24">
        <f t="shared" si="8"/>
        <v>27346.122906244993</v>
      </c>
      <c r="H36" s="24">
        <f t="shared" si="8"/>
        <v>27269.78370059462</v>
      </c>
      <c r="I36" s="24">
        <f t="shared" si="8"/>
        <v>29124.128992235062</v>
      </c>
      <c r="J36" s="24">
        <f t="shared" si="8"/>
        <v>31104.569763707033</v>
      </c>
      <c r="K36" s="24">
        <f t="shared" si="8"/>
        <v>33219.680507639117</v>
      </c>
      <c r="L36" s="24">
        <f t="shared" si="8"/>
        <v>35478.618782158577</v>
      </c>
      <c r="M36" s="24">
        <f t="shared" si="8"/>
        <v>37891.16485934535</v>
      </c>
    </row>
    <row r="37" spans="1:13" x14ac:dyDescent="0.3">
      <c r="A37" s="5" t="s">
        <v>131</v>
      </c>
      <c r="D37" s="21">
        <f>1/(1+Inputs!$B$21)^1</f>
        <v>0.90785086733802234</v>
      </c>
      <c r="E37" s="21">
        <f>1/(1+Inputs!$B$21)^2</f>
        <v>0.82419319732639951</v>
      </c>
      <c r="F37" s="21">
        <f>1/(1+Inputs!$B$21)^3</f>
        <v>0.74824450904686957</v>
      </c>
      <c r="G37" s="21">
        <f>1/(1+Inputs!$B$21)^4</f>
        <v>0.6792944265191132</v>
      </c>
      <c r="H37" s="21">
        <f>1/(1+Inputs!$B$21)^5</f>
        <v>0.61669803429326142</v>
      </c>
      <c r="I37" s="21">
        <f>1/(1+Inputs!$B$21)^6</f>
        <v>0.5598698453187908</v>
      </c>
      <c r="J37" s="21">
        <f>1/(1+Inputs!$B$21)^7</f>
        <v>0.50827832466906875</v>
      </c>
      <c r="K37" s="21">
        <f>1/(1+Inputs!$B$21)^8</f>
        <v>0.46144091789993091</v>
      </c>
      <c r="L37" s="21">
        <f>1/(1+Inputs!$B$21)^9</f>
        <v>0.41891953754070549</v>
      </c>
      <c r="M37" s="21">
        <f>1/(1+Inputs!$B$21)^10</f>
        <v>0.38031646550117271</v>
      </c>
    </row>
    <row r="38" spans="1:13" x14ac:dyDescent="0.3">
      <c r="A38" s="5" t="s">
        <v>132</v>
      </c>
      <c r="D38" s="15">
        <f t="shared" ref="D38:M38" si="9">D36*D37</f>
        <v>26707.430246032578</v>
      </c>
      <c r="E38" s="15">
        <f t="shared" si="9"/>
        <v>23527.520785081215</v>
      </c>
      <c r="F38" s="15">
        <f t="shared" si="9"/>
        <v>20385.800654673025</v>
      </c>
      <c r="G38" s="15">
        <f t="shared" si="9"/>
        <v>18576.068877118876</v>
      </c>
      <c r="H38" s="15">
        <f t="shared" si="9"/>
        <v>16817.222003759121</v>
      </c>
      <c r="I38" s="15">
        <f t="shared" si="9"/>
        <v>16305.721593927155</v>
      </c>
      <c r="J38" s="15">
        <f t="shared" si="9"/>
        <v>15809.778609049183</v>
      </c>
      <c r="K38" s="15">
        <f t="shared" si="9"/>
        <v>15328.919865787437</v>
      </c>
      <c r="L38" s="15">
        <f t="shared" si="9"/>
        <v>14862.68657280486</v>
      </c>
      <c r="M38" s="15">
        <f t="shared" si="9"/>
        <v>14410.633893028464</v>
      </c>
    </row>
    <row r="40" spans="1:13" x14ac:dyDescent="0.3">
      <c r="A40" s="5" t="s">
        <v>7</v>
      </c>
      <c r="C40" s="6">
        <f>Inputs!C37</f>
        <v>0.17</v>
      </c>
    </row>
    <row r="41" spans="1:13" x14ac:dyDescent="0.3">
      <c r="A41" s="5" t="s">
        <v>133</v>
      </c>
      <c r="C41" s="15">
        <f>(C40-Inputs!$B$21)*M34</f>
        <v>40467.764069780838</v>
      </c>
    </row>
    <row r="42" spans="1:13" x14ac:dyDescent="0.3">
      <c r="A42" s="5" t="s">
        <v>134</v>
      </c>
      <c r="C42" s="15">
        <f>C41/(Inputs!$B$21-Inputs!$B$22)</f>
        <v>657985.67651365139</v>
      </c>
    </row>
    <row r="43" spans="1:13" x14ac:dyDescent="0.3">
      <c r="A43" s="5" t="s">
        <v>135</v>
      </c>
      <c r="C43" s="15">
        <f>C42*M37</f>
        <v>250242.78684206988</v>
      </c>
    </row>
    <row r="44" spans="1:13" x14ac:dyDescent="0.3">
      <c r="A44" s="5" t="s">
        <v>136</v>
      </c>
      <c r="C44" s="15">
        <f>SUM(D38:M38)</f>
        <v>182731.78310126191</v>
      </c>
    </row>
    <row r="45" spans="1:13" x14ac:dyDescent="0.3">
      <c r="A45" s="5" t="s">
        <v>137</v>
      </c>
      <c r="C45" s="7">
        <f>Inputs!$B$11</f>
        <v>298670.53665910807</v>
      </c>
    </row>
    <row r="46" spans="1:13" x14ac:dyDescent="0.3">
      <c r="A46" s="1" t="s">
        <v>8</v>
      </c>
      <c r="C46" s="24">
        <f>C45+C44+C43</f>
        <v>731645.10660243989</v>
      </c>
    </row>
    <row r="47" spans="1:13" x14ac:dyDescent="0.3">
      <c r="A47" s="1" t="s">
        <v>9</v>
      </c>
      <c r="C47" s="9">
        <f>C46/Inputs!$B$6</f>
        <v>275.9311505230981</v>
      </c>
    </row>
    <row r="48" spans="1:13" x14ac:dyDescent="0.3">
      <c r="A48" s="5" t="s">
        <v>138</v>
      </c>
      <c r="C48" s="10">
        <f>C47/Inputs!$B$5-1</f>
        <v>-0.18776889637613892</v>
      </c>
    </row>
    <row r="49" spans="1:13" x14ac:dyDescent="0.3">
      <c r="A49" s="5" t="s">
        <v>11</v>
      </c>
      <c r="C49" s="17">
        <f>C47/Inputs!$B$10</f>
        <v>2.4496728562064818</v>
      </c>
    </row>
    <row r="50" spans="1:13" x14ac:dyDescent="0.3">
      <c r="A50" s="5" t="s">
        <v>139</v>
      </c>
      <c r="C50" s="10">
        <f>C43/C46</f>
        <v>0.34202755486759018</v>
      </c>
    </row>
    <row r="52" spans="1:13" x14ac:dyDescent="0.3">
      <c r="A52" s="1" t="s">
        <v>140</v>
      </c>
    </row>
    <row r="53" spans="1:13" x14ac:dyDescent="0.3">
      <c r="A53" s="5" t="s">
        <v>141</v>
      </c>
      <c r="C53" s="7">
        <f>Inputs!$B$6</f>
        <v>2651.5495086923656</v>
      </c>
      <c r="D53" s="15">
        <f>C53--D33*Inputs!$B$25/(Inputs!$B$26*C55)</f>
        <v>2598.7995022177793</v>
      </c>
      <c r="E53" s="15">
        <f>D53--E33*Inputs!$B$25/(Inputs!$B$26*D55)</f>
        <v>2549.6839357866029</v>
      </c>
      <c r="F53" s="15">
        <f>E53--F33*Inputs!$B$25/(Inputs!$B$26*E55)</f>
        <v>2504.0327950811452</v>
      </c>
      <c r="G53" s="15">
        <f>F53--G33*Inputs!$B$25/(Inputs!$B$26*F55)</f>
        <v>2460.4444036499904</v>
      </c>
      <c r="H53" s="15">
        <f>G53--H33*Inputs!$B$25/(Inputs!$B$26*G55)</f>
        <v>2418.8384712969237</v>
      </c>
      <c r="I53" s="15">
        <f>H53--I33*Inputs!$B$25/(Inputs!$B$26*H55)</f>
        <v>2377.9360921736716</v>
      </c>
      <c r="J53" s="15">
        <f>I53--J33*Inputs!$B$25/(Inputs!$B$26*I55)</f>
        <v>2337.7253692473068</v>
      </c>
      <c r="K53" s="15">
        <f>J53--K33*Inputs!$B$25/(Inputs!$B$26*J55)</f>
        <v>2298.1946066628466</v>
      </c>
      <c r="L53" s="15">
        <f>K53--L33*Inputs!$B$25/(Inputs!$B$26*K55)</f>
        <v>2259.3323063413477</v>
      </c>
      <c r="M53" s="15">
        <f>L53--M33*Inputs!$B$25/(Inputs!$B$26*L55)</f>
        <v>2221.127164635529</v>
      </c>
    </row>
    <row r="54" spans="1:13" x14ac:dyDescent="0.3">
      <c r="A54" s="5" t="s">
        <v>142</v>
      </c>
      <c r="D54" s="25">
        <f t="shared" ref="D54:M54" si="10">D32/C53</f>
        <v>22.528000000000002</v>
      </c>
      <c r="E54" s="25">
        <f t="shared" si="10"/>
        <v>23.582886663687347</v>
      </c>
      <c r="F54" s="25">
        <f t="shared" si="10"/>
        <v>24.502735192577124</v>
      </c>
      <c r="G54" s="25">
        <f t="shared" si="10"/>
        <v>26.002866762081339</v>
      </c>
      <c r="H54" s="25">
        <f t="shared" si="10"/>
        <v>27.506943627165864</v>
      </c>
      <c r="I54" s="25">
        <f t="shared" si="10"/>
        <v>29.882730550763387</v>
      </c>
      <c r="J54" s="25">
        <f t="shared" si="10"/>
        <v>32.46371524488903</v>
      </c>
      <c r="K54" s="25">
        <f t="shared" si="10"/>
        <v>35.267620732012304</v>
      </c>
      <c r="L54" s="25">
        <f t="shared" si="10"/>
        <v>38.313700779915635</v>
      </c>
      <c r="M54" s="25">
        <f t="shared" si="10"/>
        <v>41.622872112846103</v>
      </c>
    </row>
    <row r="55" spans="1:13" x14ac:dyDescent="0.3">
      <c r="A55" s="5" t="s">
        <v>143</v>
      </c>
      <c r="C55" s="12">
        <f>Inputs!$B$10</f>
        <v>112.64</v>
      </c>
      <c r="D55" s="25">
        <f t="shared" ref="D55:M55" si="11">D34/D53</f>
        <v>124.12045612467026</v>
      </c>
      <c r="E55" s="25">
        <f t="shared" si="11"/>
        <v>136.12630662542847</v>
      </c>
      <c r="F55" s="25">
        <f t="shared" si="11"/>
        <v>148.58781006903621</v>
      </c>
      <c r="G55" s="25">
        <f t="shared" si="11"/>
        <v>161.80555074803451</v>
      </c>
      <c r="H55" s="25">
        <f t="shared" si="11"/>
        <v>175.78076794566695</v>
      </c>
      <c r="I55" s="25">
        <f t="shared" si="11"/>
        <v>190.9630308522884</v>
      </c>
      <c r="J55" s="25">
        <f t="shared" si="11"/>
        <v>207.45659254124882</v>
      </c>
      <c r="K55" s="25">
        <f t="shared" si="11"/>
        <v>225.37471047009197</v>
      </c>
      <c r="L55" s="25">
        <f t="shared" si="11"/>
        <v>244.84042419321236</v>
      </c>
      <c r="M55" s="25">
        <f t="shared" si="11"/>
        <v>265.98740024590001</v>
      </c>
    </row>
    <row r="56" spans="1:13" x14ac:dyDescent="0.3">
      <c r="A56" s="5" t="s">
        <v>144</v>
      </c>
      <c r="E56" s="10">
        <f t="shared" ref="E56:M56" si="12">E54/D54-1</f>
        <v>4.6825579886689672E-2</v>
      </c>
      <c r="F56" s="10">
        <f t="shared" si="12"/>
        <v>3.9004916658746058E-2</v>
      </c>
      <c r="G56" s="10">
        <f t="shared" si="12"/>
        <v>6.1223025009822907E-2</v>
      </c>
      <c r="H56" s="10">
        <f t="shared" si="12"/>
        <v>5.7842732451248269E-2</v>
      </c>
      <c r="I56" s="10">
        <f t="shared" si="12"/>
        <v>8.6370443615960246E-2</v>
      </c>
      <c r="J56" s="10">
        <f t="shared" si="12"/>
        <v>8.6370443615960246E-2</v>
      </c>
      <c r="K56" s="10">
        <f t="shared" si="12"/>
        <v>8.6370443615960246E-2</v>
      </c>
      <c r="L56" s="10">
        <f t="shared" si="12"/>
        <v>8.6370443615960024E-2</v>
      </c>
      <c r="M56" s="10">
        <f t="shared" si="12"/>
        <v>8.6370443615960024E-2</v>
      </c>
    </row>
    <row r="57" spans="1:13" x14ac:dyDescent="0.3">
      <c r="A57" s="5" t="s">
        <v>145</v>
      </c>
      <c r="D57" s="10">
        <f>D55/C55-1</f>
        <v>0.10192166303862082</v>
      </c>
      <c r="E57" s="10">
        <f t="shared" ref="E57:M57" si="13">E55/D55-1</f>
        <v>9.6727412028676296E-2</v>
      </c>
      <c r="F57" s="10">
        <f t="shared" si="13"/>
        <v>9.1543682867246234E-2</v>
      </c>
      <c r="G57" s="10">
        <f t="shared" si="13"/>
        <v>8.8955753993932074E-2</v>
      </c>
      <c r="H57" s="10">
        <f t="shared" si="13"/>
        <v>8.6370443615959802E-2</v>
      </c>
      <c r="I57" s="10">
        <f t="shared" si="13"/>
        <v>8.6370443615960468E-2</v>
      </c>
      <c r="J57" s="10">
        <f t="shared" si="13"/>
        <v>8.6370443615960024E-2</v>
      </c>
      <c r="K57" s="10">
        <f t="shared" si="13"/>
        <v>8.6370443615960024E-2</v>
      </c>
      <c r="L57" s="10">
        <f t="shared" si="13"/>
        <v>8.6370443615960024E-2</v>
      </c>
      <c r="M57" s="10">
        <f t="shared" si="13"/>
        <v>8.6370443615960246E-2</v>
      </c>
    </row>
    <row r="59" spans="1:13" x14ac:dyDescent="0.3">
      <c r="A59" s="2" t="s">
        <v>146</v>
      </c>
    </row>
    <row r="62" spans="1:13" x14ac:dyDescent="0.3">
      <c r="A62" s="1" t="s">
        <v>78</v>
      </c>
    </row>
    <row r="63" spans="1:13" x14ac:dyDescent="0.3">
      <c r="A63" s="3" t="s">
        <v>91</v>
      </c>
      <c r="B63" s="4"/>
      <c r="C63" s="4" t="s">
        <v>124</v>
      </c>
      <c r="D63" s="4" t="s">
        <v>60</v>
      </c>
      <c r="E63" s="4" t="s">
        <v>61</v>
      </c>
      <c r="F63" s="4" t="s">
        <v>62</v>
      </c>
      <c r="G63" s="4" t="s">
        <v>63</v>
      </c>
      <c r="H63" s="4" t="s">
        <v>64</v>
      </c>
      <c r="I63" s="4" t="s">
        <v>65</v>
      </c>
      <c r="J63" s="4" t="s">
        <v>66</v>
      </c>
      <c r="K63" s="4" t="s">
        <v>67</v>
      </c>
      <c r="L63" s="4" t="s">
        <v>68</v>
      </c>
      <c r="M63" s="4" t="s">
        <v>69</v>
      </c>
    </row>
    <row r="64" spans="1:13" x14ac:dyDescent="0.3">
      <c r="A64" s="5" t="s">
        <v>125</v>
      </c>
      <c r="D64" s="6">
        <f>Inputs!D41</f>
        <v>0.21</v>
      </c>
      <c r="E64" s="6">
        <f>Inputs!E41</f>
        <v>0.21</v>
      </c>
      <c r="F64" s="6">
        <f>Inputs!F41</f>
        <v>0.21</v>
      </c>
      <c r="G64" s="6">
        <f>Inputs!G41</f>
        <v>0.21</v>
      </c>
      <c r="H64" s="6">
        <f>Inputs!H41</f>
        <v>0.21</v>
      </c>
      <c r="I64" s="6">
        <f>Inputs!I41</f>
        <v>0.20499999999999999</v>
      </c>
      <c r="J64" s="6">
        <f>Inputs!J41</f>
        <v>0.2</v>
      </c>
      <c r="K64" s="6">
        <f>Inputs!K41</f>
        <v>0.2</v>
      </c>
      <c r="L64" s="6">
        <f>Inputs!L41</f>
        <v>0.2</v>
      </c>
      <c r="M64" s="6">
        <f>Inputs!M41</f>
        <v>0.2</v>
      </c>
    </row>
    <row r="65" spans="1:13" x14ac:dyDescent="0.3">
      <c r="A65" s="5" t="s">
        <v>126</v>
      </c>
      <c r="D65" s="15">
        <f t="shared" ref="D65:M65" si="14">C68</f>
        <v>298670.53665910807</v>
      </c>
      <c r="E65" s="15">
        <f t="shared" si="14"/>
        <v>320622.82110355247</v>
      </c>
      <c r="F65" s="15">
        <f t="shared" si="14"/>
        <v>344188.59845466359</v>
      </c>
      <c r="G65" s="15">
        <f t="shared" si="14"/>
        <v>369486.46044108132</v>
      </c>
      <c r="H65" s="15">
        <f t="shared" si="14"/>
        <v>396643.71528350079</v>
      </c>
      <c r="I65" s="15">
        <f t="shared" si="14"/>
        <v>425797.0283568381</v>
      </c>
      <c r="J65" s="15">
        <f t="shared" si="14"/>
        <v>456347.96514144121</v>
      </c>
      <c r="K65" s="15">
        <f t="shared" si="14"/>
        <v>488292.32270134205</v>
      </c>
      <c r="L65" s="15">
        <f t="shared" si="14"/>
        <v>522472.785290436</v>
      </c>
      <c r="M65" s="15">
        <f t="shared" si="14"/>
        <v>559045.88026076648</v>
      </c>
    </row>
    <row r="66" spans="1:13" x14ac:dyDescent="0.3">
      <c r="A66" s="1" t="s">
        <v>111</v>
      </c>
      <c r="D66" s="15">
        <f t="shared" ref="D66:M66" si="15">D64*D65</f>
        <v>62720.812698412694</v>
      </c>
      <c r="E66" s="15">
        <f t="shared" si="15"/>
        <v>67330.792431746013</v>
      </c>
      <c r="F66" s="15">
        <f t="shared" si="15"/>
        <v>72279.605675479354</v>
      </c>
      <c r="G66" s="15">
        <f t="shared" si="15"/>
        <v>77592.156692627075</v>
      </c>
      <c r="H66" s="15">
        <f t="shared" si="15"/>
        <v>83295.18020953516</v>
      </c>
      <c r="I66" s="15">
        <f t="shared" si="15"/>
        <v>87288.390813151811</v>
      </c>
      <c r="J66" s="15">
        <f t="shared" si="15"/>
        <v>91269.593028288247</v>
      </c>
      <c r="K66" s="15">
        <f t="shared" si="15"/>
        <v>97658.464540268411</v>
      </c>
      <c r="L66" s="15">
        <f t="shared" si="15"/>
        <v>104494.5570580872</v>
      </c>
      <c r="M66" s="15">
        <f t="shared" si="15"/>
        <v>111809.1760521533</v>
      </c>
    </row>
    <row r="67" spans="1:13" x14ac:dyDescent="0.3">
      <c r="A67" s="5" t="s">
        <v>127</v>
      </c>
      <c r="D67" s="15">
        <f>-Inputs!$C$43*D66</f>
        <v>-40768.528253968252</v>
      </c>
      <c r="E67" s="15">
        <f>-Inputs!$C$43*E66</f>
        <v>-43765.015080634912</v>
      </c>
      <c r="F67" s="15">
        <f>-Inputs!$C$43*F66</f>
        <v>-46981.743689061579</v>
      </c>
      <c r="G67" s="15">
        <f>-Inputs!$C$43*G66</f>
        <v>-50434.9018502076</v>
      </c>
      <c r="H67" s="15">
        <f>-Inputs!$C$43*H66</f>
        <v>-54141.867136197856</v>
      </c>
      <c r="I67" s="15">
        <f>-Inputs!$C$43*I66</f>
        <v>-56737.45402854868</v>
      </c>
      <c r="J67" s="15">
        <f>-Inputs!$C$43*J66</f>
        <v>-59325.235468387364</v>
      </c>
      <c r="K67" s="15">
        <f>-Inputs!$C$43*K66</f>
        <v>-63478.001951174469</v>
      </c>
      <c r="L67" s="15">
        <f>-Inputs!$C$43*L66</f>
        <v>-67921.462087756678</v>
      </c>
      <c r="M67" s="15">
        <f>-Inputs!$C$43*M66</f>
        <v>-72675.964433899644</v>
      </c>
    </row>
    <row r="68" spans="1:13" x14ac:dyDescent="0.3">
      <c r="A68" s="5" t="s">
        <v>128</v>
      </c>
      <c r="C68" s="7">
        <f>Inputs!$B$11</f>
        <v>298670.53665910807</v>
      </c>
      <c r="D68" s="15">
        <f t="shared" ref="D68:M68" si="16">D65+D66+D67</f>
        <v>320622.82110355247</v>
      </c>
      <c r="E68" s="15">
        <f t="shared" si="16"/>
        <v>344188.59845466359</v>
      </c>
      <c r="F68" s="15">
        <f t="shared" si="16"/>
        <v>369486.46044108132</v>
      </c>
      <c r="G68" s="15">
        <f t="shared" si="16"/>
        <v>396643.71528350079</v>
      </c>
      <c r="H68" s="15">
        <f t="shared" si="16"/>
        <v>425797.0283568381</v>
      </c>
      <c r="I68" s="15">
        <f t="shared" si="16"/>
        <v>456347.96514144121</v>
      </c>
      <c r="J68" s="15">
        <f t="shared" si="16"/>
        <v>488292.32270134205</v>
      </c>
      <c r="K68" s="15">
        <f t="shared" si="16"/>
        <v>522472.785290436</v>
      </c>
      <c r="L68" s="15">
        <f t="shared" si="16"/>
        <v>559045.88026076648</v>
      </c>
      <c r="M68" s="15">
        <f t="shared" si="16"/>
        <v>598179.09187902021</v>
      </c>
    </row>
    <row r="69" spans="1:13" x14ac:dyDescent="0.3">
      <c r="A69" s="5" t="s">
        <v>129</v>
      </c>
      <c r="D69" s="15">
        <f>-Inputs!$B$21*D65</f>
        <v>-30315.806147241114</v>
      </c>
      <c r="E69" s="15">
        <f>-Inputs!$B$21*E65</f>
        <v>-32544.017899063332</v>
      </c>
      <c r="F69" s="15">
        <f>-Inputs!$B$21*F65</f>
        <v>-34936.003214644486</v>
      </c>
      <c r="G69" s="15">
        <f>-Inputs!$B$21*G65</f>
        <v>-37503.799450920858</v>
      </c>
      <c r="H69" s="15">
        <f>-Inputs!$B$21*H65</f>
        <v>-40260.328710563539</v>
      </c>
      <c r="I69" s="15">
        <f>-Inputs!$B$21*I65</f>
        <v>-43219.462870789954</v>
      </c>
      <c r="J69" s="15">
        <f>-Inputs!$B$21*J65</f>
        <v>-46320.459331769132</v>
      </c>
      <c r="K69" s="15">
        <f>-Inputs!$B$21*K65</f>
        <v>-49562.891484992972</v>
      </c>
      <c r="L69" s="15">
        <f>-Inputs!$B$21*L65</f>
        <v>-53032.293888942477</v>
      </c>
      <c r="M69" s="15">
        <f>-Inputs!$B$21*M65</f>
        <v>-56744.554461168445</v>
      </c>
    </row>
    <row r="70" spans="1:13" x14ac:dyDescent="0.3">
      <c r="A70" s="1" t="s">
        <v>130</v>
      </c>
      <c r="D70" s="24">
        <f t="shared" ref="D70:M70" si="17">D66+D69</f>
        <v>32405.00655117158</v>
      </c>
      <c r="E70" s="24">
        <f t="shared" si="17"/>
        <v>34786.774532682684</v>
      </c>
      <c r="F70" s="24">
        <f t="shared" si="17"/>
        <v>37343.602460834867</v>
      </c>
      <c r="G70" s="24">
        <f t="shared" si="17"/>
        <v>40088.357241706217</v>
      </c>
      <c r="H70" s="24">
        <f t="shared" si="17"/>
        <v>43034.85149897162</v>
      </c>
      <c r="I70" s="24">
        <f t="shared" si="17"/>
        <v>44068.927942361857</v>
      </c>
      <c r="J70" s="24">
        <f t="shared" si="17"/>
        <v>44949.133696519115</v>
      </c>
      <c r="K70" s="24">
        <f t="shared" si="17"/>
        <v>48095.573055275439</v>
      </c>
      <c r="L70" s="24">
        <f t="shared" si="17"/>
        <v>51462.263169144724</v>
      </c>
      <c r="M70" s="24">
        <f t="shared" si="17"/>
        <v>55064.621590984854</v>
      </c>
    </row>
    <row r="71" spans="1:13" x14ac:dyDescent="0.3">
      <c r="A71" s="5" t="s">
        <v>131</v>
      </c>
      <c r="D71" s="21">
        <f>1/(1+Inputs!$B$21)^1</f>
        <v>0.90785086733802234</v>
      </c>
      <c r="E71" s="21">
        <f>1/(1+Inputs!$B$21)^2</f>
        <v>0.82419319732639951</v>
      </c>
      <c r="F71" s="21">
        <f>1/(1+Inputs!$B$21)^3</f>
        <v>0.74824450904686957</v>
      </c>
      <c r="G71" s="21">
        <f>1/(1+Inputs!$B$21)^4</f>
        <v>0.6792944265191132</v>
      </c>
      <c r="H71" s="21">
        <f>1/(1+Inputs!$B$21)^5</f>
        <v>0.61669803429326142</v>
      </c>
      <c r="I71" s="21">
        <f>1/(1+Inputs!$B$21)^6</f>
        <v>0.5598698453187908</v>
      </c>
      <c r="J71" s="21">
        <f>1/(1+Inputs!$B$21)^7</f>
        <v>0.50827832466906875</v>
      </c>
      <c r="K71" s="21">
        <f>1/(1+Inputs!$B$21)^8</f>
        <v>0.46144091789993091</v>
      </c>
      <c r="L71" s="21">
        <f>1/(1+Inputs!$B$21)^9</f>
        <v>0.41891953754070549</v>
      </c>
      <c r="M71" s="21">
        <f>1/(1+Inputs!$B$21)^10</f>
        <v>0.38031646550117271</v>
      </c>
    </row>
    <row r="72" spans="1:13" x14ac:dyDescent="0.3">
      <c r="A72" s="5" t="s">
        <v>132</v>
      </c>
      <c r="D72" s="15">
        <f t="shared" ref="D72:M72" si="18">D70*D71</f>
        <v>29418.913303575417</v>
      </c>
      <c r="E72" s="15">
        <f t="shared" si="18"/>
        <v>28671.022926764308</v>
      </c>
      <c r="F72" s="15">
        <f t="shared" si="18"/>
        <v>27942.145489348855</v>
      </c>
      <c r="G72" s="15">
        <f t="shared" si="18"/>
        <v>27231.797642598165</v>
      </c>
      <c r="H72" s="15">
        <f t="shared" si="18"/>
        <v>26539.508325518214</v>
      </c>
      <c r="I72" s="15">
        <f t="shared" si="18"/>
        <v>24672.863870455072</v>
      </c>
      <c r="J72" s="15">
        <f t="shared" si="18"/>
        <v>22846.670370592721</v>
      </c>
      <c r="K72" s="15">
        <f t="shared" si="18"/>
        <v>22193.265377549484</v>
      </c>
      <c r="L72" s="15">
        <f t="shared" si="18"/>
        <v>21558.54748761619</v>
      </c>
      <c r="M72" s="15">
        <f t="shared" si="18"/>
        <v>20941.982257642921</v>
      </c>
    </row>
    <row r="74" spans="1:13" x14ac:dyDescent="0.3">
      <c r="A74" s="5" t="s">
        <v>7</v>
      </c>
      <c r="C74" s="6">
        <f>Inputs!C42</f>
        <v>0.2</v>
      </c>
    </row>
    <row r="75" spans="1:13" x14ac:dyDescent="0.3">
      <c r="A75" s="5" t="s">
        <v>133</v>
      </c>
      <c r="C75" s="15">
        <f>(C74-Inputs!$B$21)*M68</f>
        <v>58919.145102353803</v>
      </c>
    </row>
    <row r="76" spans="1:13" x14ac:dyDescent="0.3">
      <c r="A76" s="5" t="s">
        <v>134</v>
      </c>
      <c r="C76" s="15">
        <f>C75/(Inputs!$B$21-Inputs!$B$22)</f>
        <v>957995.9367888103</v>
      </c>
    </row>
    <row r="77" spans="1:13" x14ac:dyDescent="0.3">
      <c r="A77" s="5" t="s">
        <v>135</v>
      </c>
      <c r="C77" s="15">
        <f>C76*M71</f>
        <v>364341.62864400522</v>
      </c>
    </row>
    <row r="78" spans="1:13" x14ac:dyDescent="0.3">
      <c r="A78" s="5" t="s">
        <v>136</v>
      </c>
      <c r="C78" s="15">
        <f>SUM(D72:M72)</f>
        <v>252016.71705166134</v>
      </c>
    </row>
    <row r="79" spans="1:13" x14ac:dyDescent="0.3">
      <c r="A79" s="5" t="s">
        <v>137</v>
      </c>
      <c r="C79" s="7">
        <f>Inputs!$B$11</f>
        <v>298670.53665910807</v>
      </c>
    </row>
    <row r="80" spans="1:13" x14ac:dyDescent="0.3">
      <c r="A80" s="1" t="s">
        <v>8</v>
      </c>
      <c r="C80" s="24">
        <f>C79+C78+C77</f>
        <v>915028.88235477451</v>
      </c>
    </row>
    <row r="81" spans="1:3" x14ac:dyDescent="0.3">
      <c r="A81" s="1" t="s">
        <v>9</v>
      </c>
      <c r="C81" s="9">
        <f>C80/Inputs!$B$6</f>
        <v>345.09213550609087</v>
      </c>
    </row>
    <row r="82" spans="1:3" x14ac:dyDescent="0.3">
      <c r="A82" s="5" t="s">
        <v>138</v>
      </c>
      <c r="C82" s="10">
        <f>C81/Inputs!$B$5-1</f>
        <v>1.5813421364920588E-2</v>
      </c>
    </row>
    <row r="83" spans="1:3" x14ac:dyDescent="0.3">
      <c r="A83" s="5" t="s">
        <v>11</v>
      </c>
      <c r="C83" s="17">
        <f>C81/Inputs!$B$10</f>
        <v>3.0636730780015169</v>
      </c>
    </row>
    <row r="84" spans="1:3" x14ac:dyDescent="0.3">
      <c r="A84" s="5" t="s">
        <v>139</v>
      </c>
      <c r="C84" s="10">
        <f>C77/C80</f>
        <v>0.39817500372927339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showGridLines="0" workbookViewId="0"/>
  </sheetViews>
  <sheetFormatPr baseColWidth="10" defaultColWidth="8.88671875" defaultRowHeight="14.4" x14ac:dyDescent="0.3"/>
  <cols>
    <col min="1" max="1" width="50" customWidth="1"/>
    <col min="2" max="10" width="10" customWidth="1"/>
  </cols>
  <sheetData>
    <row r="1" spans="1:9" x14ac:dyDescent="0.3">
      <c r="A1" s="1" t="s">
        <v>147</v>
      </c>
    </row>
    <row r="3" spans="1:9" x14ac:dyDescent="0.3">
      <c r="A3" s="5" t="s">
        <v>36</v>
      </c>
      <c r="C3" s="11">
        <f>Inputs!B12</f>
        <v>3.0159801136363638</v>
      </c>
    </row>
    <row r="4" spans="1:9" x14ac:dyDescent="0.3">
      <c r="A4" s="5" t="s">
        <v>50</v>
      </c>
      <c r="C4" s="6">
        <f>Inputs!B21</f>
        <v>0.1015025</v>
      </c>
    </row>
    <row r="5" spans="1:9" x14ac:dyDescent="0.3">
      <c r="A5" s="5" t="s">
        <v>52</v>
      </c>
      <c r="C5" s="6">
        <f>Inputs!B22</f>
        <v>0.04</v>
      </c>
    </row>
    <row r="6" spans="1:9" x14ac:dyDescent="0.3">
      <c r="A6" s="1" t="s">
        <v>15</v>
      </c>
      <c r="C6" s="26">
        <f>C3*(C4-C5)+C5</f>
        <v>0.22549031693892047</v>
      </c>
    </row>
    <row r="7" spans="1:9" x14ac:dyDescent="0.3">
      <c r="A7" s="5" t="s">
        <v>148</v>
      </c>
      <c r="C7" s="19">
        <v>0.17</v>
      </c>
    </row>
    <row r="8" spans="1:9" x14ac:dyDescent="0.3">
      <c r="A8" s="5" t="s">
        <v>149</v>
      </c>
      <c r="C8" s="19">
        <v>0.21</v>
      </c>
    </row>
    <row r="11" spans="1:9" x14ac:dyDescent="0.3">
      <c r="A11" s="1" t="s">
        <v>150</v>
      </c>
    </row>
    <row r="12" spans="1:9" x14ac:dyDescent="0.3">
      <c r="A12" s="3" t="s">
        <v>151</v>
      </c>
      <c r="B12" s="4"/>
      <c r="C12" s="27">
        <v>0.13</v>
      </c>
      <c r="D12" s="27">
        <v>0.15</v>
      </c>
      <c r="E12" s="27">
        <v>0.17</v>
      </c>
      <c r="F12" s="27">
        <v>0.19</v>
      </c>
      <c r="G12" s="27">
        <v>0.21</v>
      </c>
      <c r="H12" s="27">
        <v>0.23</v>
      </c>
      <c r="I12" s="27">
        <v>0.25</v>
      </c>
    </row>
    <row r="13" spans="1:9" x14ac:dyDescent="0.3">
      <c r="A13" s="28">
        <v>0.08</v>
      </c>
      <c r="C13" s="29">
        <f>Inputs!$B$10*(C$12-$C$5)/($A13-$C$5)</f>
        <v>253.43999999999997</v>
      </c>
      <c r="D13" s="29">
        <f>Inputs!$B$10*(D$12-$C$5)/($A13-$C$5)</f>
        <v>309.75999999999993</v>
      </c>
      <c r="E13" s="29">
        <f>Inputs!$B$10*(E$12-$C$5)/($A13-$C$5)</f>
        <v>366.08</v>
      </c>
      <c r="F13" s="29">
        <f>Inputs!$B$10*(F$12-$C$5)/($A13-$C$5)</f>
        <v>422.40000000000003</v>
      </c>
      <c r="G13" s="29">
        <f>Inputs!$B$10*(G$12-$C$5)/($A13-$C$5)</f>
        <v>478.71999999999991</v>
      </c>
      <c r="H13" s="29">
        <f>Inputs!$B$10*(H$12-$C$5)/($A13-$C$5)</f>
        <v>535.04000000000008</v>
      </c>
      <c r="I13" s="29">
        <f>Inputs!$B$10*(I$12-$C$5)/($A13-$C$5)</f>
        <v>591.36</v>
      </c>
    </row>
    <row r="14" spans="1:9" x14ac:dyDescent="0.3">
      <c r="A14" s="28">
        <v>8.5000000000000006E-2</v>
      </c>
      <c r="C14" s="29">
        <f>Inputs!$B$10*(C$12-$C$5)/($A14-$C$5)</f>
        <v>225.27999999999994</v>
      </c>
      <c r="D14" s="29">
        <f>Inputs!$B$10*(D$12-$C$5)/($A14-$C$5)</f>
        <v>275.34222222222212</v>
      </c>
      <c r="E14" s="29">
        <f>Inputs!$B$10*(E$12-$C$5)/($A14-$C$5)</f>
        <v>325.40444444444444</v>
      </c>
      <c r="F14" s="29">
        <f>Inputs!$B$10*(F$12-$C$5)/($A14-$C$5)</f>
        <v>375.46666666666664</v>
      </c>
      <c r="G14" s="29">
        <f>Inputs!$B$10*(G$12-$C$5)/($A14-$C$5)</f>
        <v>425.52888888888879</v>
      </c>
      <c r="H14" s="29">
        <f>Inputs!$B$10*(H$12-$C$5)/($A14-$C$5)</f>
        <v>475.5911111111111</v>
      </c>
      <c r="I14" s="29">
        <f>Inputs!$B$10*(I$12-$C$5)/($A14-$C$5)</f>
        <v>525.65333333333319</v>
      </c>
    </row>
    <row r="15" spans="1:9" x14ac:dyDescent="0.3">
      <c r="A15" s="28">
        <v>0.09</v>
      </c>
      <c r="C15" s="29">
        <f>Inputs!$B$10*(C$12-$C$5)/($A15-$C$5)</f>
        <v>202.75200000000001</v>
      </c>
      <c r="D15" s="29">
        <f>Inputs!$B$10*(D$12-$C$5)/($A15-$C$5)</f>
        <v>247.80799999999996</v>
      </c>
      <c r="E15" s="29">
        <f>Inputs!$B$10*(E$12-$C$5)/($A15-$C$5)</f>
        <v>292.86400000000003</v>
      </c>
      <c r="F15" s="29">
        <f>Inputs!$B$10*(F$12-$C$5)/($A15-$C$5)</f>
        <v>337.92</v>
      </c>
      <c r="G15" s="29">
        <f>Inputs!$B$10*(G$12-$C$5)/($A15-$C$5)</f>
        <v>382.976</v>
      </c>
      <c r="H15" s="29">
        <f>Inputs!$B$10*(H$12-$C$5)/($A15-$C$5)</f>
        <v>428.0320000000001</v>
      </c>
      <c r="I15" s="29">
        <f>Inputs!$B$10*(I$12-$C$5)/($A15-$C$5)</f>
        <v>473.08800000000002</v>
      </c>
    </row>
    <row r="16" spans="1:9" x14ac:dyDescent="0.3">
      <c r="A16" s="28">
        <v>9.5000000000000001E-2</v>
      </c>
      <c r="C16" s="29">
        <f>Inputs!$B$10*(C$12-$C$5)/($A16-$C$5)</f>
        <v>184.32</v>
      </c>
      <c r="D16" s="29">
        <f>Inputs!$B$10*(D$12-$C$5)/($A16-$C$5)</f>
        <v>225.27999999999997</v>
      </c>
      <c r="E16" s="29">
        <f>Inputs!$B$10*(E$12-$C$5)/($A16-$C$5)</f>
        <v>266.24</v>
      </c>
      <c r="F16" s="29">
        <f>Inputs!$B$10*(F$12-$C$5)/($A16-$C$5)</f>
        <v>307.2</v>
      </c>
      <c r="G16" s="29">
        <f>Inputs!$B$10*(G$12-$C$5)/($A16-$C$5)</f>
        <v>348.15999999999997</v>
      </c>
      <c r="H16" s="29">
        <f>Inputs!$B$10*(H$12-$C$5)/($A16-$C$5)</f>
        <v>389.12000000000006</v>
      </c>
      <c r="I16" s="29">
        <f>Inputs!$B$10*(I$12-$C$5)/($A16-$C$5)</f>
        <v>430.08</v>
      </c>
    </row>
    <row r="17" spans="1:9" x14ac:dyDescent="0.3">
      <c r="A17" s="28">
        <v>0.1</v>
      </c>
      <c r="C17" s="29">
        <f>Inputs!$B$10*(C$12-$C$5)/($A17-$C$5)</f>
        <v>168.95999999999998</v>
      </c>
      <c r="D17" s="29">
        <f>Inputs!$B$10*(D$12-$C$5)/($A17-$C$5)</f>
        <v>206.5066666666666</v>
      </c>
      <c r="E17" s="29">
        <f>Inputs!$B$10*(E$12-$C$5)/($A17-$C$5)</f>
        <v>244.05333333333331</v>
      </c>
      <c r="F17" s="29">
        <f>Inputs!$B$10*(F$12-$C$5)/($A17-$C$5)</f>
        <v>281.59999999999997</v>
      </c>
      <c r="G17" s="29">
        <f>Inputs!$B$10*(G$12-$C$5)/($A17-$C$5)</f>
        <v>319.14666666666659</v>
      </c>
      <c r="H17" s="29">
        <f>Inputs!$B$10*(H$12-$C$5)/($A17-$C$5)</f>
        <v>356.69333333333333</v>
      </c>
      <c r="I17" s="29">
        <f>Inputs!$B$10*(I$12-$C$5)/($A17-$C$5)</f>
        <v>394.23999999999995</v>
      </c>
    </row>
    <row r="18" spans="1:9" x14ac:dyDescent="0.3">
      <c r="A18" s="28">
        <v>0.105</v>
      </c>
      <c r="C18" s="29">
        <f>Inputs!$B$10*(C$12-$C$5)/($A18-$C$5)</f>
        <v>155.9630769230769</v>
      </c>
      <c r="D18" s="29">
        <f>Inputs!$B$10*(D$12-$C$5)/($A18-$C$5)</f>
        <v>190.62153846153842</v>
      </c>
      <c r="E18" s="29">
        <f>Inputs!$B$10*(E$12-$C$5)/($A18-$C$5)</f>
        <v>225.28</v>
      </c>
      <c r="F18" s="29">
        <f>Inputs!$B$10*(F$12-$C$5)/($A18-$C$5)</f>
        <v>259.93846153846152</v>
      </c>
      <c r="G18" s="29">
        <f>Inputs!$B$10*(G$12-$C$5)/($A18-$C$5)</f>
        <v>294.59692307692302</v>
      </c>
      <c r="H18" s="29">
        <f>Inputs!$B$10*(H$12-$C$5)/($A18-$C$5)</f>
        <v>329.25538461538463</v>
      </c>
      <c r="I18" s="29">
        <f>Inputs!$B$10*(I$12-$C$5)/($A18-$C$5)</f>
        <v>363.91384615384612</v>
      </c>
    </row>
    <row r="19" spans="1:9" x14ac:dyDescent="0.3">
      <c r="A19" s="28">
        <v>0.11</v>
      </c>
      <c r="C19" s="29">
        <f>Inputs!$B$10*(C$12-$C$5)/($A19-$C$5)</f>
        <v>144.82285714285712</v>
      </c>
      <c r="D19" s="29">
        <f>Inputs!$B$10*(D$12-$C$5)/($A19-$C$5)</f>
        <v>177.00571428571425</v>
      </c>
      <c r="E19" s="29">
        <f>Inputs!$B$10*(E$12-$C$5)/($A19-$C$5)</f>
        <v>209.18857142857141</v>
      </c>
      <c r="F19" s="29">
        <f>Inputs!$B$10*(F$12-$C$5)/($A19-$C$5)</f>
        <v>241.37142857142857</v>
      </c>
      <c r="G19" s="29">
        <f>Inputs!$B$10*(G$12-$C$5)/($A19-$C$5)</f>
        <v>273.55428571428564</v>
      </c>
      <c r="H19" s="29">
        <f>Inputs!$B$10*(H$12-$C$5)/($A19-$C$5)</f>
        <v>305.73714285714283</v>
      </c>
      <c r="I19" s="29">
        <f>Inputs!$B$10*(I$12-$C$5)/($A19-$C$5)</f>
        <v>337.91999999999996</v>
      </c>
    </row>
    <row r="20" spans="1:9" x14ac:dyDescent="0.3">
      <c r="A20" s="28">
        <v>0.12</v>
      </c>
      <c r="C20" s="29">
        <f>Inputs!$B$10*(C$12-$C$5)/($A20-$C$5)</f>
        <v>126.72000000000001</v>
      </c>
      <c r="D20" s="29">
        <f>Inputs!$B$10*(D$12-$C$5)/($A20-$C$5)</f>
        <v>154.88</v>
      </c>
      <c r="E20" s="29">
        <f>Inputs!$B$10*(E$12-$C$5)/($A20-$C$5)</f>
        <v>183.04000000000002</v>
      </c>
      <c r="F20" s="29">
        <f>Inputs!$B$10*(F$12-$C$5)/($A20-$C$5)</f>
        <v>211.20000000000005</v>
      </c>
      <c r="G20" s="29">
        <f>Inputs!$B$10*(G$12-$C$5)/($A20-$C$5)</f>
        <v>239.36</v>
      </c>
      <c r="H20" s="29">
        <f>Inputs!$B$10*(H$12-$C$5)/($A20-$C$5)</f>
        <v>267.52000000000004</v>
      </c>
      <c r="I20" s="29">
        <f>Inputs!$B$10*(I$12-$C$5)/($A20-$C$5)</f>
        <v>295.68</v>
      </c>
    </row>
    <row r="22" spans="1:9" x14ac:dyDescent="0.3">
      <c r="A22" s="5" t="s">
        <v>152</v>
      </c>
      <c r="C22" s="12">
        <f>Inputs!B5</f>
        <v>339.72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showGridLines="0" workbookViewId="0"/>
  </sheetViews>
  <sheetFormatPr baseColWidth="10" defaultColWidth="8.88671875" defaultRowHeight="14.4" x14ac:dyDescent="0.3"/>
  <cols>
    <col min="1" max="1" width="12" customWidth="1"/>
    <col min="2" max="9" width="13" customWidth="1"/>
  </cols>
  <sheetData>
    <row r="1" spans="1:8" x14ac:dyDescent="0.3">
      <c r="A1" s="1" t="s">
        <v>153</v>
      </c>
    </row>
    <row r="2" spans="1:8" x14ac:dyDescent="0.3">
      <c r="A2" s="2" t="s">
        <v>154</v>
      </c>
    </row>
    <row r="4" spans="1:8" x14ac:dyDescent="0.3">
      <c r="A4" s="3" t="s">
        <v>155</v>
      </c>
      <c r="B4" s="4" t="s">
        <v>156</v>
      </c>
      <c r="C4" s="4" t="s">
        <v>157</v>
      </c>
      <c r="D4" s="4" t="s">
        <v>158</v>
      </c>
      <c r="E4" s="4" t="s">
        <v>159</v>
      </c>
      <c r="F4" s="4" t="s">
        <v>160</v>
      </c>
      <c r="G4" s="4" t="s">
        <v>161</v>
      </c>
      <c r="H4" s="4" t="s">
        <v>162</v>
      </c>
    </row>
    <row r="5" spans="1:8" x14ac:dyDescent="0.3">
      <c r="A5" s="1" t="s">
        <v>163</v>
      </c>
      <c r="B5" s="14">
        <v>339.72</v>
      </c>
      <c r="C5" s="14">
        <v>111.96</v>
      </c>
      <c r="D5" s="19">
        <v>0.217</v>
      </c>
      <c r="E5" s="17">
        <f t="shared" ref="E5:E10" si="0">B5/C5</f>
        <v>3.034297963558414</v>
      </c>
      <c r="F5" s="30">
        <v>13.98</v>
      </c>
      <c r="G5" s="17">
        <f>(D5-Inputs!$B$22)/(Inputs!$B$21-Inputs!$B$22)</f>
        <v>2.8779317913905942</v>
      </c>
      <c r="H5" s="10">
        <f t="shared" ref="H5:H10" si="1">E5/G5-1</f>
        <v>5.433282770480985E-2</v>
      </c>
    </row>
    <row r="6" spans="1:8" x14ac:dyDescent="0.3">
      <c r="A6" s="5" t="s">
        <v>164</v>
      </c>
      <c r="B6" s="14">
        <v>51.23</v>
      </c>
      <c r="C6" s="14">
        <v>29.13</v>
      </c>
      <c r="D6" s="19">
        <v>0.151</v>
      </c>
      <c r="E6" s="17">
        <f t="shared" si="0"/>
        <v>1.7586680398214898</v>
      </c>
      <c r="F6" s="30">
        <v>11.65</v>
      </c>
      <c r="G6" s="17">
        <f>(D6-Inputs!$B$22)/(Inputs!$B$21-Inputs!$B$22)</f>
        <v>1.8048046827364741</v>
      </c>
      <c r="H6" s="10">
        <f t="shared" si="1"/>
        <v>-2.5563233161070453E-2</v>
      </c>
    </row>
    <row r="7" spans="1:8" x14ac:dyDescent="0.3">
      <c r="A7" s="5" t="s">
        <v>165</v>
      </c>
      <c r="B7" s="14">
        <v>83.87</v>
      </c>
      <c r="C7" s="14">
        <v>46.11</v>
      </c>
      <c r="D7" s="19">
        <v>0.1588</v>
      </c>
      <c r="E7" s="17">
        <f t="shared" si="0"/>
        <v>1.8189112990674476</v>
      </c>
      <c r="F7" s="30">
        <v>11.46</v>
      </c>
      <c r="G7" s="17">
        <f>(D7-Inputs!$B$22)/(Inputs!$B$21-Inputs!$B$22)</f>
        <v>1.9316287955774156</v>
      </c>
      <c r="H7" s="10">
        <f t="shared" si="1"/>
        <v>-5.8353601255086707E-2</v>
      </c>
    </row>
    <row r="8" spans="1:8" x14ac:dyDescent="0.3">
      <c r="A8" s="5" t="s">
        <v>166</v>
      </c>
      <c r="B8" s="14">
        <v>124.26</v>
      </c>
      <c r="C8" s="14">
        <v>101.67</v>
      </c>
      <c r="D8" s="19">
        <v>0.1047</v>
      </c>
      <c r="E8" s="17">
        <f t="shared" si="0"/>
        <v>1.222189436411921</v>
      </c>
      <c r="F8" s="30">
        <v>11.67</v>
      </c>
      <c r="G8" s="17">
        <f>(D8-Inputs!$B$22)/(Inputs!$B$21-Inputs!$B$22)</f>
        <v>1.0519897565139631</v>
      </c>
      <c r="H8" s="10">
        <f t="shared" si="1"/>
        <v>0.16178834332185721</v>
      </c>
    </row>
    <row r="9" spans="1:8" x14ac:dyDescent="0.3">
      <c r="A9" s="5" t="s">
        <v>167</v>
      </c>
      <c r="B9" s="14">
        <v>881.26</v>
      </c>
      <c r="C9" s="14">
        <v>340.41</v>
      </c>
      <c r="D9" s="19">
        <v>0.21440000000000001</v>
      </c>
      <c r="E9" s="17">
        <f t="shared" si="0"/>
        <v>2.5888193648835225</v>
      </c>
      <c r="F9" s="30">
        <v>12.07</v>
      </c>
      <c r="G9" s="17">
        <f>(D9-Inputs!$B$22)/(Inputs!$B$21-Inputs!$B$22)</f>
        <v>2.8356570871102802</v>
      </c>
      <c r="H9" s="10">
        <f t="shared" si="1"/>
        <v>-8.7047803963596126E-2</v>
      </c>
    </row>
    <row r="10" spans="1:8" x14ac:dyDescent="0.3">
      <c r="A10" s="5" t="s">
        <v>168</v>
      </c>
      <c r="B10" s="14">
        <v>180.57</v>
      </c>
      <c r="C10" s="14">
        <v>53.17</v>
      </c>
      <c r="D10" s="19">
        <v>0.23769999999999999</v>
      </c>
      <c r="E10" s="17">
        <f t="shared" si="0"/>
        <v>3.3960880195599019</v>
      </c>
      <c r="F10" s="30">
        <v>14.29</v>
      </c>
      <c r="G10" s="17">
        <f>(D10-Inputs!$B$22)/(Inputs!$B$21-Inputs!$B$22)</f>
        <v>3.2145034754684771</v>
      </c>
      <c r="H10" s="10">
        <f t="shared" si="1"/>
        <v>5.6489142250798485E-2</v>
      </c>
    </row>
    <row r="12" spans="1:8" x14ac:dyDescent="0.3">
      <c r="A12" s="2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Inputs</vt:lpstr>
      <vt:lpstr>Historical</vt:lpstr>
      <vt:lpstr>RI model</vt:lpstr>
      <vt:lpstr>Reverse</vt:lpstr>
      <vt:lpstr>Peers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renere</cp:lastModifiedBy>
  <dcterms:created xsi:type="dcterms:W3CDTF">2026-10-18T00:35:58Z</dcterms:created>
  <dcterms:modified xsi:type="dcterms:W3CDTF">2026-10-18T00:36:00Z</dcterms:modified>
</cp:coreProperties>
</file>