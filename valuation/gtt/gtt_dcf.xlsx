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ke5\Desktop\investing-portfolio\valuation\gtt\"/>
    </mc:Choice>
  </mc:AlternateContent>
  <xr:revisionPtr revIDLastSave="0" documentId="13_ncr:1_{2193CD8C-C4C3-41B4-862C-D34009931DFF}" xr6:coauthVersionLast="47" xr6:coauthVersionMax="47" xr10:uidLastSave="{00000000-0000-0000-0000-000000000000}"/>
  <bookViews>
    <workbookView xWindow="5052" yWindow="3360" windowWidth="17280" windowHeight="8880" xr2:uid="{00000000-000D-0000-FFFF-FFFF00000000}"/>
  </bookViews>
  <sheets>
    <sheet name="Summary" sheetId="1" r:id="rId1"/>
    <sheet name="Inputs" sheetId="2" r:id="rId2"/>
    <sheet name="Historical" sheetId="3" r:id="rId3"/>
    <sheet name="DCF" sheetId="4" r:id="rId4"/>
    <sheet name="Reverse DC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5" l="1"/>
  <c r="C8" i="5"/>
  <c r="C189" i="4"/>
  <c r="L188" i="4"/>
  <c r="K188" i="4"/>
  <c r="J188" i="4"/>
  <c r="I188" i="4"/>
  <c r="H188" i="4"/>
  <c r="G188" i="4"/>
  <c r="F188" i="4"/>
  <c r="E188" i="4"/>
  <c r="D188" i="4"/>
  <c r="C188" i="4"/>
  <c r="L184" i="4"/>
  <c r="K184" i="4"/>
  <c r="J184" i="4"/>
  <c r="I184" i="4"/>
  <c r="H184" i="4"/>
  <c r="G184" i="4"/>
  <c r="F184" i="4"/>
  <c r="E184" i="4"/>
  <c r="D184" i="4"/>
  <c r="C184" i="4"/>
  <c r="L180" i="4"/>
  <c r="K180" i="4"/>
  <c r="J180" i="4"/>
  <c r="I180" i="4"/>
  <c r="H180" i="4"/>
  <c r="G180" i="4"/>
  <c r="F180" i="4"/>
  <c r="E180" i="4"/>
  <c r="D180" i="4"/>
  <c r="C180" i="4"/>
  <c r="L178" i="4"/>
  <c r="K178" i="4"/>
  <c r="J178" i="4"/>
  <c r="I178" i="4"/>
  <c r="H178" i="4"/>
  <c r="G178" i="4"/>
  <c r="F178" i="4"/>
  <c r="E178" i="4"/>
  <c r="D178" i="4"/>
  <c r="C178" i="4"/>
  <c r="C177" i="4"/>
  <c r="C181" i="4" s="1"/>
  <c r="C175" i="4"/>
  <c r="K174" i="4"/>
  <c r="L175" i="4" s="1"/>
  <c r="D174" i="4"/>
  <c r="L173" i="4"/>
  <c r="K173" i="4"/>
  <c r="J173" i="4"/>
  <c r="I173" i="4"/>
  <c r="H173" i="4"/>
  <c r="G173" i="4"/>
  <c r="F173" i="4"/>
  <c r="E173" i="4"/>
  <c r="D173" i="4"/>
  <c r="C173" i="4"/>
  <c r="L172" i="4"/>
  <c r="L174" i="4" s="1"/>
  <c r="K172" i="4"/>
  <c r="J172" i="4"/>
  <c r="J174" i="4" s="1"/>
  <c r="I172" i="4"/>
  <c r="I174" i="4" s="1"/>
  <c r="H172" i="4"/>
  <c r="H174" i="4" s="1"/>
  <c r="G172" i="4"/>
  <c r="F172" i="4"/>
  <c r="E172" i="4"/>
  <c r="D172" i="4"/>
  <c r="L171" i="4"/>
  <c r="K171" i="4"/>
  <c r="J171" i="4"/>
  <c r="I171" i="4"/>
  <c r="H171" i="4"/>
  <c r="G171" i="4"/>
  <c r="F171" i="4"/>
  <c r="E171" i="4"/>
  <c r="D171" i="4"/>
  <c r="C171" i="4"/>
  <c r="C176" i="4" s="1"/>
  <c r="C179" i="4" s="1"/>
  <c r="C148" i="4"/>
  <c r="L147" i="4"/>
  <c r="K147" i="4"/>
  <c r="J147" i="4"/>
  <c r="I147" i="4"/>
  <c r="H147" i="4"/>
  <c r="G147" i="4"/>
  <c r="F147" i="4"/>
  <c r="E147" i="4"/>
  <c r="D147" i="4"/>
  <c r="C147" i="4"/>
  <c r="L143" i="4"/>
  <c r="K143" i="4"/>
  <c r="J143" i="4"/>
  <c r="I143" i="4"/>
  <c r="H143" i="4"/>
  <c r="G143" i="4"/>
  <c r="F143" i="4"/>
  <c r="E143" i="4"/>
  <c r="D143" i="4"/>
  <c r="C143" i="4"/>
  <c r="L139" i="4"/>
  <c r="K139" i="4"/>
  <c r="J139" i="4"/>
  <c r="I139" i="4"/>
  <c r="H139" i="4"/>
  <c r="G139" i="4"/>
  <c r="F139" i="4"/>
  <c r="E139" i="4"/>
  <c r="D139" i="4"/>
  <c r="C139" i="4"/>
  <c r="L137" i="4"/>
  <c r="K137" i="4"/>
  <c r="J137" i="4"/>
  <c r="I137" i="4"/>
  <c r="H137" i="4"/>
  <c r="G137" i="4"/>
  <c r="F137" i="4"/>
  <c r="E137" i="4"/>
  <c r="D137" i="4"/>
  <c r="C137" i="4"/>
  <c r="C136" i="4"/>
  <c r="D136" i="4" s="1"/>
  <c r="C134" i="4"/>
  <c r="K133" i="4"/>
  <c r="J133" i="4"/>
  <c r="I133" i="4"/>
  <c r="L132" i="4"/>
  <c r="L133" i="4" s="1"/>
  <c r="K132" i="4"/>
  <c r="J132" i="4"/>
  <c r="I132" i="4"/>
  <c r="H132" i="4"/>
  <c r="G132" i="4"/>
  <c r="F132" i="4"/>
  <c r="E132" i="4"/>
  <c r="D132" i="4"/>
  <c r="D133" i="4" s="1"/>
  <c r="C132" i="4"/>
  <c r="L131" i="4"/>
  <c r="K131" i="4"/>
  <c r="J131" i="4"/>
  <c r="I131" i="4"/>
  <c r="H131" i="4"/>
  <c r="H133" i="4" s="1"/>
  <c r="G131" i="4"/>
  <c r="G133" i="4" s="1"/>
  <c r="F131" i="4"/>
  <c r="E131" i="4"/>
  <c r="D131" i="4"/>
  <c r="L130" i="4"/>
  <c r="K130" i="4"/>
  <c r="J130" i="4"/>
  <c r="I130" i="4"/>
  <c r="H130" i="4"/>
  <c r="G130" i="4"/>
  <c r="F130" i="4"/>
  <c r="E130" i="4"/>
  <c r="D130" i="4"/>
  <c r="C130" i="4"/>
  <c r="C135" i="4" s="1"/>
  <c r="C138" i="4" s="1"/>
  <c r="C116" i="4"/>
  <c r="C111" i="4"/>
  <c r="C105" i="4"/>
  <c r="L104" i="4"/>
  <c r="K104" i="4"/>
  <c r="J104" i="4"/>
  <c r="I104" i="4"/>
  <c r="H104" i="4"/>
  <c r="G104" i="4"/>
  <c r="F104" i="4"/>
  <c r="E104" i="4"/>
  <c r="D104" i="4"/>
  <c r="C104" i="4"/>
  <c r="L100" i="4"/>
  <c r="K100" i="4"/>
  <c r="J100" i="4"/>
  <c r="I100" i="4"/>
  <c r="H100" i="4"/>
  <c r="G100" i="4"/>
  <c r="F100" i="4"/>
  <c r="E100" i="4"/>
  <c r="D100" i="4"/>
  <c r="C100" i="4"/>
  <c r="L96" i="4"/>
  <c r="K96" i="4"/>
  <c r="J96" i="4"/>
  <c r="I96" i="4"/>
  <c r="H96" i="4"/>
  <c r="G96" i="4"/>
  <c r="F96" i="4"/>
  <c r="E96" i="4"/>
  <c r="D96" i="4"/>
  <c r="C96" i="4"/>
  <c r="L94" i="4"/>
  <c r="K94" i="4"/>
  <c r="J94" i="4"/>
  <c r="I94" i="4"/>
  <c r="H94" i="4"/>
  <c r="G94" i="4"/>
  <c r="F94" i="4"/>
  <c r="E94" i="4"/>
  <c r="D94" i="4"/>
  <c r="C94" i="4"/>
  <c r="C93" i="4"/>
  <c r="D93" i="4" s="1"/>
  <c r="C91" i="4"/>
  <c r="L89" i="4"/>
  <c r="K89" i="4"/>
  <c r="K90" i="4" s="1"/>
  <c r="J89" i="4"/>
  <c r="I89" i="4"/>
  <c r="I90" i="4" s="1"/>
  <c r="H89" i="4"/>
  <c r="G89" i="4"/>
  <c r="F89" i="4"/>
  <c r="E89" i="4"/>
  <c r="D89" i="4"/>
  <c r="C89" i="4"/>
  <c r="L88" i="4"/>
  <c r="K88" i="4"/>
  <c r="J88" i="4"/>
  <c r="I88" i="4"/>
  <c r="H88" i="4"/>
  <c r="H90" i="4" s="1"/>
  <c r="G88" i="4"/>
  <c r="G90" i="4" s="1"/>
  <c r="F88" i="4"/>
  <c r="F90" i="4" s="1"/>
  <c r="E88" i="4"/>
  <c r="E90" i="4" s="1"/>
  <c r="D88" i="4"/>
  <c r="C123" i="4" s="1"/>
  <c r="D5" i="1" s="1"/>
  <c r="C88" i="4"/>
  <c r="L87" i="4"/>
  <c r="K87" i="4"/>
  <c r="J87" i="4"/>
  <c r="I87" i="4"/>
  <c r="H87" i="4"/>
  <c r="G87" i="4"/>
  <c r="F87" i="4"/>
  <c r="E87" i="4"/>
  <c r="D87" i="4"/>
  <c r="C87" i="4"/>
  <c r="C70" i="4"/>
  <c r="C64" i="4"/>
  <c r="L63" i="4"/>
  <c r="K63" i="4"/>
  <c r="J63" i="4"/>
  <c r="I63" i="4"/>
  <c r="H63" i="4"/>
  <c r="G63" i="4"/>
  <c r="F63" i="4"/>
  <c r="E63" i="4"/>
  <c r="D63" i="4"/>
  <c r="C63" i="4"/>
  <c r="L59" i="4"/>
  <c r="K59" i="4"/>
  <c r="J59" i="4"/>
  <c r="I59" i="4"/>
  <c r="H59" i="4"/>
  <c r="G59" i="4"/>
  <c r="F59" i="4"/>
  <c r="E59" i="4"/>
  <c r="D59" i="4"/>
  <c r="C59" i="4"/>
  <c r="L55" i="4"/>
  <c r="K55" i="4"/>
  <c r="J55" i="4"/>
  <c r="I55" i="4"/>
  <c r="H55" i="4"/>
  <c r="G55" i="4"/>
  <c r="F55" i="4"/>
  <c r="E55" i="4"/>
  <c r="D55" i="4"/>
  <c r="C55" i="4"/>
  <c r="L53" i="4"/>
  <c r="K53" i="4"/>
  <c r="J53" i="4"/>
  <c r="I53" i="4"/>
  <c r="H53" i="4"/>
  <c r="G53" i="4"/>
  <c r="F53" i="4"/>
  <c r="E53" i="4"/>
  <c r="D53" i="4"/>
  <c r="C53" i="4"/>
  <c r="C52" i="4"/>
  <c r="C56" i="4" s="1"/>
  <c r="C50" i="4"/>
  <c r="L48" i="4"/>
  <c r="K48" i="4"/>
  <c r="J48" i="4"/>
  <c r="I48" i="4"/>
  <c r="I49" i="4" s="1"/>
  <c r="H48" i="4"/>
  <c r="G48" i="4"/>
  <c r="F48" i="4"/>
  <c r="E48" i="4"/>
  <c r="D48" i="4"/>
  <c r="C48" i="4"/>
  <c r="L47" i="4"/>
  <c r="K47" i="4"/>
  <c r="J47" i="4"/>
  <c r="I47" i="4"/>
  <c r="H47" i="4"/>
  <c r="H49" i="4" s="1"/>
  <c r="G47" i="4"/>
  <c r="G49" i="4" s="1"/>
  <c r="F47" i="4"/>
  <c r="F49" i="4" s="1"/>
  <c r="E47" i="4"/>
  <c r="E49" i="4" s="1"/>
  <c r="D47" i="4"/>
  <c r="C47" i="4"/>
  <c r="L46" i="4"/>
  <c r="K46" i="4"/>
  <c r="J46" i="4"/>
  <c r="I46" i="4"/>
  <c r="H46" i="4"/>
  <c r="G46" i="4"/>
  <c r="F46" i="4"/>
  <c r="E46" i="4"/>
  <c r="D46" i="4"/>
  <c r="C46" i="4"/>
  <c r="C51" i="4" s="1"/>
  <c r="C54" i="4" s="1"/>
  <c r="C29" i="4"/>
  <c r="C23" i="4"/>
  <c r="L22" i="4"/>
  <c r="K22" i="4"/>
  <c r="J22" i="4"/>
  <c r="I22" i="4"/>
  <c r="H22" i="4"/>
  <c r="G22" i="4"/>
  <c r="F22" i="4"/>
  <c r="E22" i="4"/>
  <c r="D22" i="4"/>
  <c r="C22" i="4"/>
  <c r="L18" i="4"/>
  <c r="K18" i="4"/>
  <c r="J18" i="4"/>
  <c r="I18" i="4"/>
  <c r="H18" i="4"/>
  <c r="G18" i="4"/>
  <c r="F18" i="4"/>
  <c r="E18" i="4"/>
  <c r="D18" i="4"/>
  <c r="C18" i="4"/>
  <c r="L14" i="4"/>
  <c r="K14" i="4"/>
  <c r="J14" i="4"/>
  <c r="I14" i="4"/>
  <c r="H14" i="4"/>
  <c r="G14" i="4"/>
  <c r="F14" i="4"/>
  <c r="E14" i="4"/>
  <c r="D14" i="4"/>
  <c r="C14" i="4"/>
  <c r="L12" i="4"/>
  <c r="K12" i="4"/>
  <c r="J12" i="4"/>
  <c r="I12" i="4"/>
  <c r="H12" i="4"/>
  <c r="G12" i="4"/>
  <c r="F12" i="4"/>
  <c r="E12" i="4"/>
  <c r="D12" i="4"/>
  <c r="C12" i="4"/>
  <c r="C11" i="4"/>
  <c r="C15" i="4" s="1"/>
  <c r="C9" i="4"/>
  <c r="C10" i="4" s="1"/>
  <c r="C13" i="4" s="1"/>
  <c r="L7" i="4"/>
  <c r="K7" i="4"/>
  <c r="J7" i="4"/>
  <c r="I7" i="4"/>
  <c r="I8" i="4" s="1"/>
  <c r="H7" i="4"/>
  <c r="G7" i="4"/>
  <c r="G8" i="4" s="1"/>
  <c r="F7" i="4"/>
  <c r="E7" i="4"/>
  <c r="D7" i="4"/>
  <c r="C7" i="4"/>
  <c r="L6" i="4"/>
  <c r="K6" i="4"/>
  <c r="J6" i="4"/>
  <c r="I6" i="4"/>
  <c r="H6" i="4"/>
  <c r="G6" i="4"/>
  <c r="F6" i="4"/>
  <c r="F8" i="4" s="1"/>
  <c r="E6" i="4"/>
  <c r="E8" i="4" s="1"/>
  <c r="D6" i="4"/>
  <c r="C6" i="4"/>
  <c r="C8" i="4" s="1"/>
  <c r="D9" i="4" s="1"/>
  <c r="L5" i="4"/>
  <c r="K5" i="4"/>
  <c r="J5" i="4"/>
  <c r="I5" i="4"/>
  <c r="H5" i="4"/>
  <c r="G5" i="4"/>
  <c r="F5" i="4"/>
  <c r="E5" i="4"/>
  <c r="D5" i="4"/>
  <c r="C5" i="4"/>
  <c r="H14" i="3"/>
  <c r="G14" i="3"/>
  <c r="F14" i="3"/>
  <c r="E14" i="3"/>
  <c r="D14" i="3"/>
  <c r="C14" i="3"/>
  <c r="B14" i="3"/>
  <c r="H13" i="3"/>
  <c r="G13" i="3"/>
  <c r="F13" i="3"/>
  <c r="E13" i="3"/>
  <c r="D13" i="3"/>
  <c r="C13" i="3"/>
  <c r="B13" i="3"/>
  <c r="H12" i="3"/>
  <c r="G12" i="3"/>
  <c r="F12" i="3"/>
  <c r="E12" i="3"/>
  <c r="D12" i="3"/>
  <c r="C12" i="3"/>
  <c r="B12" i="3"/>
  <c r="B73" i="2"/>
  <c r="C67" i="2"/>
  <c r="C195" i="4" s="1"/>
  <c r="C66" i="2"/>
  <c r="D177" i="4" s="1"/>
  <c r="C65" i="2"/>
  <c r="C172" i="4" s="1"/>
  <c r="C174" i="4" s="1"/>
  <c r="D175" i="4" s="1"/>
  <c r="C62" i="2"/>
  <c r="C154" i="4" s="1"/>
  <c r="C61" i="2"/>
  <c r="C60" i="2"/>
  <c r="C131" i="4" s="1"/>
  <c r="B27" i="2"/>
  <c r="B18" i="2"/>
  <c r="B15" i="2"/>
  <c r="B9" i="2"/>
  <c r="C200" i="4" s="1"/>
  <c r="B20" i="1"/>
  <c r="B16" i="1"/>
  <c r="D14" i="1"/>
  <c r="C14" i="1"/>
  <c r="B14" i="1"/>
  <c r="J50" i="4" l="1"/>
  <c r="D176" i="4"/>
  <c r="I91" i="4"/>
  <c r="L134" i="4"/>
  <c r="K8" i="4"/>
  <c r="D11" i="4"/>
  <c r="D52" i="4"/>
  <c r="D56" i="4" s="1"/>
  <c r="J90" i="4"/>
  <c r="K91" i="4" s="1"/>
  <c r="K92" i="4" s="1"/>
  <c r="C140" i="4"/>
  <c r="C141" i="4" s="1"/>
  <c r="K49" i="4"/>
  <c r="L90" i="4"/>
  <c r="C97" i="4"/>
  <c r="C98" i="4" s="1"/>
  <c r="C133" i="4"/>
  <c r="D134" i="4" s="1"/>
  <c r="J51" i="4"/>
  <c r="L135" i="4"/>
  <c r="E174" i="4"/>
  <c r="F175" i="4" s="1"/>
  <c r="F176" i="4" s="1"/>
  <c r="E175" i="4"/>
  <c r="C92" i="4"/>
  <c r="C95" i="4" s="1"/>
  <c r="C207" i="4"/>
  <c r="H9" i="4"/>
  <c r="H10" i="4" s="1"/>
  <c r="L49" i="4"/>
  <c r="E133" i="4"/>
  <c r="F134" i="4" s="1"/>
  <c r="F135" i="4" s="1"/>
  <c r="G174" i="4"/>
  <c r="J175" i="4" s="1"/>
  <c r="J176" i="4" s="1"/>
  <c r="C16" i="4"/>
  <c r="B6" i="1"/>
  <c r="H50" i="4"/>
  <c r="H51" i="4" s="1"/>
  <c r="E93" i="4"/>
  <c r="D97" i="4"/>
  <c r="K175" i="4"/>
  <c r="K176" i="4" s="1"/>
  <c r="C41" i="4"/>
  <c r="B5" i="1" s="1"/>
  <c r="D8" i="4"/>
  <c r="E9" i="4" s="1"/>
  <c r="E10" i="4" s="1"/>
  <c r="C57" i="4"/>
  <c r="C6" i="1"/>
  <c r="B19" i="1" s="1"/>
  <c r="E176" i="4"/>
  <c r="C182" i="4"/>
  <c r="D179" i="4"/>
  <c r="I92" i="4"/>
  <c r="D140" i="4"/>
  <c r="E136" i="4"/>
  <c r="D10" i="4"/>
  <c r="D13" i="4" s="1"/>
  <c r="J8" i="4"/>
  <c r="L9" i="4" s="1"/>
  <c r="L10" i="4" s="1"/>
  <c r="C90" i="4"/>
  <c r="D91" i="4" s="1"/>
  <c r="D92" i="4" s="1"/>
  <c r="D95" i="4" s="1"/>
  <c r="C166" i="4"/>
  <c r="F133" i="4"/>
  <c r="J134" i="4"/>
  <c r="J135" i="4" s="1"/>
  <c r="L176" i="4"/>
  <c r="C4" i="5"/>
  <c r="B19" i="2"/>
  <c r="L8" i="4"/>
  <c r="L91" i="4"/>
  <c r="L92" i="4" s="1"/>
  <c r="I134" i="4"/>
  <c r="I135" i="4" s="1"/>
  <c r="K134" i="4"/>
  <c r="K135" i="4" s="1"/>
  <c r="D15" i="4"/>
  <c r="E11" i="4"/>
  <c r="I50" i="4"/>
  <c r="I51" i="4" s="1"/>
  <c r="J91" i="4"/>
  <c r="E177" i="4"/>
  <c r="D181" i="4"/>
  <c r="J92" i="4"/>
  <c r="J9" i="4"/>
  <c r="J10" i="4" s="1"/>
  <c r="D49" i="4"/>
  <c r="G50" i="4" s="1"/>
  <c r="G51" i="4" s="1"/>
  <c r="C82" i="4"/>
  <c r="C5" i="1" s="1"/>
  <c r="D51" i="4"/>
  <c r="D54" i="4" s="1"/>
  <c r="J49" i="4"/>
  <c r="D135" i="4"/>
  <c r="D138" i="4" s="1"/>
  <c r="H8" i="4"/>
  <c r="I9" i="4" s="1"/>
  <c r="I10" i="4" s="1"/>
  <c r="C49" i="4"/>
  <c r="D50" i="4" s="1"/>
  <c r="D6" i="1"/>
  <c r="H91" i="4"/>
  <c r="H92" i="4" s="1"/>
  <c r="F174" i="4"/>
  <c r="G175" i="4" s="1"/>
  <c r="G176" i="4" s="1"/>
  <c r="D90" i="4"/>
  <c r="C34" i="4"/>
  <c r="C159" i="4"/>
  <c r="C75" i="4"/>
  <c r="C142" i="4" l="1"/>
  <c r="C144" i="4"/>
  <c r="E134" i="4"/>
  <c r="E135" i="4" s="1"/>
  <c r="E138" i="4" s="1"/>
  <c r="E91" i="4"/>
  <c r="E92" i="4" s="1"/>
  <c r="E95" i="4" s="1"/>
  <c r="E52" i="4"/>
  <c r="E13" i="4"/>
  <c r="G91" i="4"/>
  <c r="G92" i="4" s="1"/>
  <c r="F11" i="4"/>
  <c r="E15" i="4"/>
  <c r="E16" i="4" s="1"/>
  <c r="D23" i="4"/>
  <c r="D16" i="4"/>
  <c r="F138" i="4"/>
  <c r="F52" i="4"/>
  <c r="E56" i="4"/>
  <c r="K50" i="4"/>
  <c r="K51" i="4" s="1"/>
  <c r="L50" i="4"/>
  <c r="L51" i="4" s="1"/>
  <c r="D64" i="4"/>
  <c r="D57" i="4"/>
  <c r="E140" i="4"/>
  <c r="F136" i="4"/>
  <c r="E105" i="4"/>
  <c r="F91" i="4"/>
  <c r="F92" i="4" s="1"/>
  <c r="C145" i="4"/>
  <c r="C146" i="4" s="1"/>
  <c r="C149" i="4" s="1"/>
  <c r="C160" i="4" s="1"/>
  <c r="C185" i="4"/>
  <c r="C183" i="4"/>
  <c r="C60" i="4"/>
  <c r="C58" i="4"/>
  <c r="E50" i="4"/>
  <c r="E51" i="4" s="1"/>
  <c r="E54" i="4" s="1"/>
  <c r="F50" i="4"/>
  <c r="F51" i="4" s="1"/>
  <c r="E97" i="4"/>
  <c r="E98" i="4" s="1"/>
  <c r="F93" i="4"/>
  <c r="H175" i="4"/>
  <c r="H176" i="4" s="1"/>
  <c r="C101" i="4"/>
  <c r="C99" i="4"/>
  <c r="E179" i="4"/>
  <c r="C19" i="4"/>
  <c r="C17" i="4"/>
  <c r="D105" i="4"/>
  <c r="D98" i="4"/>
  <c r="G9" i="4"/>
  <c r="G10" i="4" s="1"/>
  <c r="E23" i="4"/>
  <c r="I175" i="4"/>
  <c r="I176" i="4" s="1"/>
  <c r="F177" i="4"/>
  <c r="E181" i="4"/>
  <c r="C30" i="5"/>
  <c r="L192" i="4"/>
  <c r="J108" i="4"/>
  <c r="H26" i="4"/>
  <c r="K192" i="4"/>
  <c r="J192" i="4"/>
  <c r="H108" i="4"/>
  <c r="F26" i="4"/>
  <c r="I192" i="4"/>
  <c r="G108" i="4"/>
  <c r="H192" i="4"/>
  <c r="F108" i="4"/>
  <c r="G192" i="4"/>
  <c r="E108" i="4"/>
  <c r="L67" i="4"/>
  <c r="F192" i="4"/>
  <c r="D108" i="4"/>
  <c r="K67" i="4"/>
  <c r="E192" i="4"/>
  <c r="L151" i="4"/>
  <c r="J67" i="4"/>
  <c r="D192" i="4"/>
  <c r="K151" i="4"/>
  <c r="J151" i="4"/>
  <c r="H67" i="4"/>
  <c r="H151" i="4"/>
  <c r="F67" i="4"/>
  <c r="G151" i="4"/>
  <c r="E67" i="4"/>
  <c r="L26" i="4"/>
  <c r="F151" i="4"/>
  <c r="D67" i="4"/>
  <c r="K26" i="4"/>
  <c r="J26" i="4"/>
  <c r="D151" i="4"/>
  <c r="K108" i="4"/>
  <c r="E151" i="4"/>
  <c r="L108" i="4"/>
  <c r="I108" i="4"/>
  <c r="G67" i="4"/>
  <c r="D26" i="4"/>
  <c r="I67" i="4"/>
  <c r="B17" i="1"/>
  <c r="G26" i="4"/>
  <c r="E26" i="4"/>
  <c r="I26" i="4"/>
  <c r="I151" i="4"/>
  <c r="D182" i="4"/>
  <c r="D189" i="4"/>
  <c r="G134" i="4"/>
  <c r="G135" i="4" s="1"/>
  <c r="H134" i="4"/>
  <c r="H135" i="4" s="1"/>
  <c r="F9" i="4"/>
  <c r="F10" i="4" s="1"/>
  <c r="D148" i="4"/>
  <c r="D141" i="4"/>
  <c r="K9" i="4"/>
  <c r="K10" i="4" s="1"/>
  <c r="F95" i="4" l="1"/>
  <c r="E17" i="4"/>
  <c r="E19" i="4"/>
  <c r="C20" i="4"/>
  <c r="C21" i="4" s="1"/>
  <c r="C24" i="4" s="1"/>
  <c r="C35" i="4" s="1"/>
  <c r="E101" i="4"/>
  <c r="E99" i="4"/>
  <c r="D185" i="4"/>
  <c r="D183" i="4"/>
  <c r="G177" i="4"/>
  <c r="F181" i="4"/>
  <c r="F179" i="4"/>
  <c r="F15" i="4"/>
  <c r="G11" i="4"/>
  <c r="E57" i="4"/>
  <c r="E64" i="4"/>
  <c r="C102" i="4"/>
  <c r="C103" i="4" s="1"/>
  <c r="C106" i="4" s="1"/>
  <c r="C117" i="4" s="1"/>
  <c r="E182" i="4"/>
  <c r="E189" i="4"/>
  <c r="F148" i="4"/>
  <c r="F97" i="4"/>
  <c r="F98" i="4" s="1"/>
  <c r="G93" i="4"/>
  <c r="D142" i="4"/>
  <c r="D144" i="4"/>
  <c r="C61" i="4"/>
  <c r="C62" i="4" s="1"/>
  <c r="C65" i="4" s="1"/>
  <c r="C76" i="4" s="1"/>
  <c r="E148" i="4"/>
  <c r="E141" i="4"/>
  <c r="G52" i="4"/>
  <c r="F56" i="4"/>
  <c r="F140" i="4"/>
  <c r="F141" i="4" s="1"/>
  <c r="G136" i="4"/>
  <c r="G138" i="4" s="1"/>
  <c r="F105" i="4"/>
  <c r="D17" i="4"/>
  <c r="D19" i="4"/>
  <c r="D58" i="4"/>
  <c r="D60" i="4"/>
  <c r="F13" i="4"/>
  <c r="D99" i="4"/>
  <c r="D101" i="4"/>
  <c r="C186" i="4"/>
  <c r="C187" i="4" s="1"/>
  <c r="C190" i="4" s="1"/>
  <c r="C201" i="4" s="1"/>
  <c r="F54" i="4"/>
  <c r="G148" i="4" l="1"/>
  <c r="F99" i="4"/>
  <c r="F101" i="4"/>
  <c r="D102" i="4"/>
  <c r="D103" i="4"/>
  <c r="G15" i="4"/>
  <c r="H11" i="4"/>
  <c r="F189" i="4"/>
  <c r="F182" i="4"/>
  <c r="G97" i="4"/>
  <c r="H93" i="4"/>
  <c r="G95" i="4"/>
  <c r="G13" i="4"/>
  <c r="D20" i="4"/>
  <c r="D21" i="4" s="1"/>
  <c r="F144" i="4"/>
  <c r="F142" i="4"/>
  <c r="D145" i="4"/>
  <c r="D146" i="4"/>
  <c r="G181" i="4"/>
  <c r="H177" i="4"/>
  <c r="G179" i="4"/>
  <c r="H136" i="4"/>
  <c r="G140" i="4"/>
  <c r="G141" i="4" s="1"/>
  <c r="E60" i="4"/>
  <c r="E58" i="4"/>
  <c r="F23" i="4"/>
  <c r="F16" i="4"/>
  <c r="D61" i="4"/>
  <c r="D62" i="4"/>
  <c r="D186" i="4"/>
  <c r="D187" i="4" s="1"/>
  <c r="E185" i="4"/>
  <c r="E183" i="4"/>
  <c r="E102" i="4"/>
  <c r="E103" i="4"/>
  <c r="E106" i="4" s="1"/>
  <c r="E109" i="4" s="1"/>
  <c r="F64" i="4"/>
  <c r="F57" i="4"/>
  <c r="G56" i="4"/>
  <c r="H52" i="4"/>
  <c r="G54" i="4"/>
  <c r="E20" i="4"/>
  <c r="E21" i="4" s="1"/>
  <c r="E24" i="4" s="1"/>
  <c r="E27" i="4" s="1"/>
  <c r="E144" i="4"/>
  <c r="E142" i="4"/>
  <c r="D190" i="4" l="1"/>
  <c r="C206" i="4"/>
  <c r="D24" i="4"/>
  <c r="D27" i="4" s="1"/>
  <c r="C40" i="4"/>
  <c r="G144" i="4"/>
  <c r="G142" i="4"/>
  <c r="B7" i="1"/>
  <c r="G16" i="4"/>
  <c r="G23" i="4"/>
  <c r="D65" i="4"/>
  <c r="D68" i="4" s="1"/>
  <c r="C81" i="4"/>
  <c r="F185" i="4"/>
  <c r="F183" i="4"/>
  <c r="F19" i="4"/>
  <c r="F17" i="4"/>
  <c r="H97" i="4"/>
  <c r="I93" i="4"/>
  <c r="H95" i="4"/>
  <c r="G57" i="4"/>
  <c r="G64" i="4"/>
  <c r="C7" i="1"/>
  <c r="I52" i="4"/>
  <c r="H56" i="4"/>
  <c r="H54" i="4"/>
  <c r="I11" i="4"/>
  <c r="H15" i="4"/>
  <c r="H13" i="4"/>
  <c r="H181" i="4"/>
  <c r="I177" i="4"/>
  <c r="H179" i="4"/>
  <c r="E145" i="4"/>
  <c r="E146" i="4" s="1"/>
  <c r="E149" i="4" s="1"/>
  <c r="I136" i="4"/>
  <c r="H140" i="4"/>
  <c r="H138" i="4"/>
  <c r="G189" i="4"/>
  <c r="G182" i="4"/>
  <c r="D106" i="4"/>
  <c r="D109" i="4" s="1"/>
  <c r="C122" i="4"/>
  <c r="E61" i="4"/>
  <c r="E62" i="4" s="1"/>
  <c r="E65" i="4" s="1"/>
  <c r="E68" i="4" s="1"/>
  <c r="G105" i="4"/>
  <c r="G98" i="4"/>
  <c r="D7" i="1"/>
  <c r="F60" i="4"/>
  <c r="F58" i="4"/>
  <c r="D149" i="4"/>
  <c r="C165" i="4"/>
  <c r="F102" i="4"/>
  <c r="F103" i="4"/>
  <c r="F106" i="4" s="1"/>
  <c r="F109" i="4" s="1"/>
  <c r="E186" i="4"/>
  <c r="E187" i="4"/>
  <c r="E190" i="4" s="1"/>
  <c r="F145" i="4"/>
  <c r="F146" i="4" s="1"/>
  <c r="F149" i="4" s="1"/>
  <c r="D14" i="5" l="1"/>
  <c r="E152" i="4"/>
  <c r="E14" i="5"/>
  <c r="F152" i="4"/>
  <c r="H189" i="4"/>
  <c r="H182" i="4"/>
  <c r="I15" i="4"/>
  <c r="J11" i="4"/>
  <c r="I13" i="4"/>
  <c r="F20" i="4"/>
  <c r="F21" i="4" s="1"/>
  <c r="F24" i="4" s="1"/>
  <c r="F27" i="4" s="1"/>
  <c r="F186" i="4"/>
  <c r="F187" i="4" s="1"/>
  <c r="F190" i="4" s="1"/>
  <c r="C14" i="5"/>
  <c r="D152" i="4"/>
  <c r="F61" i="4"/>
  <c r="F62" i="4" s="1"/>
  <c r="F65" i="4" s="1"/>
  <c r="F68" i="4" s="1"/>
  <c r="G99" i="4"/>
  <c r="D9" i="1" s="1"/>
  <c r="G101" i="4"/>
  <c r="H57" i="4"/>
  <c r="H64" i="4"/>
  <c r="G145" i="4"/>
  <c r="G146" i="4" s="1"/>
  <c r="G149" i="4" s="1"/>
  <c r="H141" i="4"/>
  <c r="H148" i="4"/>
  <c r="G60" i="4"/>
  <c r="G58" i="4"/>
  <c r="C9" i="1" s="1"/>
  <c r="I181" i="4"/>
  <c r="J177" i="4"/>
  <c r="I179" i="4"/>
  <c r="H16" i="4"/>
  <c r="H23" i="4"/>
  <c r="G17" i="4"/>
  <c r="B9" i="1" s="1"/>
  <c r="G19" i="4"/>
  <c r="J52" i="4"/>
  <c r="I56" i="4"/>
  <c r="I54" i="4"/>
  <c r="G185" i="4"/>
  <c r="G183" i="4"/>
  <c r="D15" i="5"/>
  <c r="E193" i="4"/>
  <c r="H105" i="4"/>
  <c r="H98" i="4"/>
  <c r="J136" i="4"/>
  <c r="I140" i="4"/>
  <c r="I138" i="4"/>
  <c r="I97" i="4"/>
  <c r="J93" i="4"/>
  <c r="I95" i="4"/>
  <c r="C15" i="5"/>
  <c r="D193" i="4"/>
  <c r="E15" i="5" l="1"/>
  <c r="F193" i="4"/>
  <c r="F14" i="5"/>
  <c r="G152" i="4"/>
  <c r="K136" i="4"/>
  <c r="J140" i="4"/>
  <c r="J138" i="4"/>
  <c r="H144" i="4"/>
  <c r="H142" i="4"/>
  <c r="H183" i="4"/>
  <c r="H185" i="4"/>
  <c r="H101" i="4"/>
  <c r="H99" i="4"/>
  <c r="G61" i="4"/>
  <c r="G62" i="4" s="1"/>
  <c r="G65" i="4" s="1"/>
  <c r="G68" i="4" s="1"/>
  <c r="I64" i="4"/>
  <c r="I57" i="4"/>
  <c r="I23" i="4"/>
  <c r="I16" i="4"/>
  <c r="I189" i="4"/>
  <c r="I182" i="4"/>
  <c r="J15" i="4"/>
  <c r="K11" i="4"/>
  <c r="J13" i="4"/>
  <c r="J97" i="4"/>
  <c r="K93" i="4"/>
  <c r="J95" i="4"/>
  <c r="G186" i="4"/>
  <c r="G187" i="4"/>
  <c r="G190" i="4" s="1"/>
  <c r="H58" i="4"/>
  <c r="H60" i="4"/>
  <c r="G102" i="4"/>
  <c r="G103" i="4" s="1"/>
  <c r="G106" i="4" s="1"/>
  <c r="G109" i="4" s="1"/>
  <c r="G20" i="4"/>
  <c r="G21" i="4"/>
  <c r="G24" i="4" s="1"/>
  <c r="G27" i="4" s="1"/>
  <c r="J181" i="4"/>
  <c r="K177" i="4"/>
  <c r="J179" i="4"/>
  <c r="K52" i="4"/>
  <c r="J56" i="4"/>
  <c r="J54" i="4"/>
  <c r="I105" i="4"/>
  <c r="I98" i="4"/>
  <c r="I141" i="4"/>
  <c r="I148" i="4"/>
  <c r="H19" i="4"/>
  <c r="H17" i="4"/>
  <c r="J105" i="4" l="1"/>
  <c r="J98" i="4"/>
  <c r="H102" i="4"/>
  <c r="H103" i="4" s="1"/>
  <c r="H106" i="4" s="1"/>
  <c r="H109" i="4" s="1"/>
  <c r="I99" i="4"/>
  <c r="I101" i="4"/>
  <c r="I144" i="4"/>
  <c r="I142" i="4"/>
  <c r="H145" i="4"/>
  <c r="H146" i="4" s="1"/>
  <c r="H149" i="4" s="1"/>
  <c r="L136" i="4"/>
  <c r="K140" i="4"/>
  <c r="K138" i="4"/>
  <c r="F15" i="5"/>
  <c r="G193" i="4"/>
  <c r="H186" i="4"/>
  <c r="H187" i="4" s="1"/>
  <c r="H190" i="4" s="1"/>
  <c r="I17" i="4"/>
  <c r="I19" i="4"/>
  <c r="K181" i="4"/>
  <c r="L177" i="4"/>
  <c r="K179" i="4"/>
  <c r="K97" i="4"/>
  <c r="L93" i="4"/>
  <c r="K95" i="4"/>
  <c r="L52" i="4"/>
  <c r="K56" i="4"/>
  <c r="K54" i="4"/>
  <c r="J16" i="4"/>
  <c r="J23" i="4"/>
  <c r="J189" i="4"/>
  <c r="J182" i="4"/>
  <c r="I60" i="4"/>
  <c r="I58" i="4"/>
  <c r="H61" i="4"/>
  <c r="H62" i="4" s="1"/>
  <c r="H65" i="4" s="1"/>
  <c r="H68" i="4" s="1"/>
  <c r="J57" i="4"/>
  <c r="J64" i="4"/>
  <c r="K15" i="4"/>
  <c r="L11" i="4"/>
  <c r="K13" i="4"/>
  <c r="J141" i="4"/>
  <c r="J148" i="4"/>
  <c r="I183" i="4"/>
  <c r="I185" i="4"/>
  <c r="H20" i="4"/>
  <c r="H21" i="4" s="1"/>
  <c r="H24" i="4" s="1"/>
  <c r="H27" i="4" s="1"/>
  <c r="G15" i="5" l="1"/>
  <c r="H193" i="4"/>
  <c r="G14" i="5"/>
  <c r="H152" i="4"/>
  <c r="K64" i="4"/>
  <c r="K57" i="4"/>
  <c r="L97" i="4"/>
  <c r="L95" i="4"/>
  <c r="K141" i="4"/>
  <c r="K148" i="4"/>
  <c r="L56" i="4"/>
  <c r="L54" i="4"/>
  <c r="K105" i="4"/>
  <c r="K98" i="4"/>
  <c r="I186" i="4"/>
  <c r="I187" i="4" s="1"/>
  <c r="I190" i="4" s="1"/>
  <c r="L140" i="4"/>
  <c r="L138" i="4"/>
  <c r="K23" i="4"/>
  <c r="K16" i="4"/>
  <c r="I145" i="4"/>
  <c r="I146" i="4" s="1"/>
  <c r="I149" i="4" s="1"/>
  <c r="K189" i="4"/>
  <c r="K182" i="4"/>
  <c r="J60" i="4"/>
  <c r="J58" i="4"/>
  <c r="J101" i="4"/>
  <c r="J99" i="4"/>
  <c r="J19" i="4"/>
  <c r="J17" i="4"/>
  <c r="J144" i="4"/>
  <c r="J142" i="4"/>
  <c r="L15" i="4"/>
  <c r="L13" i="4"/>
  <c r="I102" i="4"/>
  <c r="I103" i="4" s="1"/>
  <c r="I106" i="4" s="1"/>
  <c r="I109" i="4" s="1"/>
  <c r="L181" i="4"/>
  <c r="L179" i="4"/>
  <c r="I20" i="4"/>
  <c r="I21" i="4"/>
  <c r="I24" i="4" s="1"/>
  <c r="I27" i="4" s="1"/>
  <c r="I61" i="4"/>
  <c r="I62" i="4"/>
  <c r="I65" i="4" s="1"/>
  <c r="I68" i="4" s="1"/>
  <c r="J183" i="4"/>
  <c r="J185" i="4"/>
  <c r="I152" i="4" l="1"/>
  <c r="H14" i="5"/>
  <c r="L57" i="4"/>
  <c r="C8" i="1"/>
  <c r="L64" i="4"/>
  <c r="J61" i="4"/>
  <c r="J62" i="4" s="1"/>
  <c r="J65" i="4" s="1"/>
  <c r="J68" i="4" s="1"/>
  <c r="K99" i="4"/>
  <c r="K101" i="4"/>
  <c r="L98" i="4"/>
  <c r="D8" i="1"/>
  <c r="L105" i="4"/>
  <c r="J20" i="4"/>
  <c r="J21" i="4" s="1"/>
  <c r="J24" i="4" s="1"/>
  <c r="J27" i="4" s="1"/>
  <c r="J186" i="4"/>
  <c r="J187" i="4" s="1"/>
  <c r="J190" i="4" s="1"/>
  <c r="K144" i="4"/>
  <c r="K142" i="4"/>
  <c r="L189" i="4"/>
  <c r="L182" i="4"/>
  <c r="K58" i="4"/>
  <c r="K60" i="4"/>
  <c r="K17" i="4"/>
  <c r="K19" i="4"/>
  <c r="J102" i="4"/>
  <c r="J103" i="4" s="1"/>
  <c r="J106" i="4" s="1"/>
  <c r="J109" i="4" s="1"/>
  <c r="L141" i="4"/>
  <c r="L148" i="4"/>
  <c r="K183" i="4"/>
  <c r="K185" i="4"/>
  <c r="L16" i="4"/>
  <c r="B8" i="1"/>
  <c r="L23" i="4"/>
  <c r="H15" i="5"/>
  <c r="I193" i="4"/>
  <c r="J145" i="4"/>
  <c r="J146" i="4" s="1"/>
  <c r="J149" i="4" s="1"/>
  <c r="J152" i="4" l="1"/>
  <c r="I14" i="5"/>
  <c r="I15" i="5"/>
  <c r="J193" i="4"/>
  <c r="L101" i="4"/>
  <c r="L99" i="4"/>
  <c r="K61" i="4"/>
  <c r="K62" i="4"/>
  <c r="K65" i="4" s="1"/>
  <c r="K68" i="4" s="1"/>
  <c r="K186" i="4"/>
  <c r="K187" i="4"/>
  <c r="K190" i="4" s="1"/>
  <c r="L185" i="4"/>
  <c r="L183" i="4"/>
  <c r="L60" i="4"/>
  <c r="L58" i="4"/>
  <c r="K145" i="4"/>
  <c r="K146" i="4" s="1"/>
  <c r="K149" i="4" s="1"/>
  <c r="L144" i="4"/>
  <c r="L142" i="4"/>
  <c r="K102" i="4"/>
  <c r="K103" i="4"/>
  <c r="K106" i="4" s="1"/>
  <c r="K109" i="4" s="1"/>
  <c r="K20" i="4"/>
  <c r="K21" i="4"/>
  <c r="K24" i="4" s="1"/>
  <c r="K27" i="4" s="1"/>
  <c r="L19" i="4"/>
  <c r="L17" i="4"/>
  <c r="J14" i="5" l="1"/>
  <c r="K152" i="4"/>
  <c r="L186" i="4"/>
  <c r="L187" i="4"/>
  <c r="L190" i="4" s="1"/>
  <c r="L61" i="4"/>
  <c r="L62" i="4" s="1"/>
  <c r="L65" i="4" s="1"/>
  <c r="J15" i="5"/>
  <c r="K193" i="4"/>
  <c r="L20" i="4"/>
  <c r="L21" i="4"/>
  <c r="L24" i="4" s="1"/>
  <c r="L102" i="4"/>
  <c r="L103" i="4" s="1"/>
  <c r="L106" i="4" s="1"/>
  <c r="L145" i="4"/>
  <c r="L146" i="4"/>
  <c r="L149" i="4" s="1"/>
  <c r="C112" i="4" l="1"/>
  <c r="C113" i="4" s="1"/>
  <c r="L109" i="4"/>
  <c r="C114" i="4" s="1"/>
  <c r="L27" i="4"/>
  <c r="C32" i="4" s="1"/>
  <c r="C30" i="4"/>
  <c r="C31" i="4" s="1"/>
  <c r="K14" i="5"/>
  <c r="C155" i="4"/>
  <c r="C156" i="4" s="1"/>
  <c r="L152" i="4"/>
  <c r="C157" i="4" s="1"/>
  <c r="L68" i="4"/>
  <c r="C73" i="4" s="1"/>
  <c r="C71" i="4"/>
  <c r="C72" i="4" s="1"/>
  <c r="K15" i="5"/>
  <c r="C196" i="4"/>
  <c r="C197" i="4" s="1"/>
  <c r="L193" i="4"/>
  <c r="C198" i="4" s="1"/>
  <c r="C158" i="4" l="1"/>
  <c r="C161" i="4" s="1"/>
  <c r="C199" i="4"/>
  <c r="C202" i="4" s="1"/>
  <c r="E23" i="5"/>
  <c r="G22" i="5"/>
  <c r="C24" i="5"/>
  <c r="H27" i="5"/>
  <c r="E26" i="5"/>
  <c r="H26" i="5"/>
  <c r="D25" i="5"/>
  <c r="C22" i="5"/>
  <c r="C21" i="5"/>
  <c r="H24" i="5"/>
  <c r="H21" i="5"/>
  <c r="F22" i="5"/>
  <c r="E22" i="5"/>
  <c r="H23" i="5"/>
  <c r="F27" i="5"/>
  <c r="G26" i="5"/>
  <c r="D24" i="5"/>
  <c r="F25" i="5"/>
  <c r="C27" i="5"/>
  <c r="D26" i="5"/>
  <c r="C26" i="5"/>
  <c r="G23" i="5"/>
  <c r="I21" i="5"/>
  <c r="D23" i="5"/>
  <c r="I26" i="5"/>
  <c r="I23" i="5"/>
  <c r="G21" i="5"/>
  <c r="C23" i="5"/>
  <c r="F21" i="5"/>
  <c r="D22" i="5"/>
  <c r="D27" i="5"/>
  <c r="G27" i="5"/>
  <c r="G24" i="5"/>
  <c r="I25" i="5"/>
  <c r="I22" i="5"/>
  <c r="H22" i="5"/>
  <c r="E25" i="5"/>
  <c r="F24" i="5"/>
  <c r="E21" i="5"/>
  <c r="D21" i="5"/>
  <c r="G25" i="5"/>
  <c r="F23" i="5"/>
  <c r="C25" i="5"/>
  <c r="E24" i="5"/>
  <c r="I24" i="5"/>
  <c r="H25" i="5"/>
  <c r="E27" i="5"/>
  <c r="F26" i="5"/>
  <c r="I27" i="5"/>
  <c r="C74" i="4"/>
  <c r="C80" i="4"/>
  <c r="C13" i="1" s="1"/>
  <c r="C33" i="4"/>
  <c r="C39" i="4"/>
  <c r="B13" i="1" s="1"/>
  <c r="C115" i="4"/>
  <c r="C121" i="4" s="1"/>
  <c r="D13" i="1" s="1"/>
  <c r="C205" i="4" l="1"/>
  <c r="C10" i="1"/>
  <c r="C77" i="4"/>
  <c r="C78" i="4" s="1"/>
  <c r="C36" i="4"/>
  <c r="C37" i="4" s="1"/>
  <c r="B10" i="1"/>
  <c r="C6" i="5"/>
  <c r="C203" i="4"/>
  <c r="C204" i="4" s="1"/>
  <c r="C118" i="4"/>
  <c r="C119" i="4" s="1"/>
  <c r="D10" i="1"/>
  <c r="C162" i="4"/>
  <c r="C163" i="4" s="1"/>
  <c r="C5" i="5"/>
  <c r="C7" i="5" s="1"/>
  <c r="B18" i="1" s="1"/>
  <c r="C164" i="4"/>
  <c r="C79" i="4" l="1"/>
  <c r="C12" i="1" s="1"/>
  <c r="C11" i="1"/>
  <c r="C120" i="4"/>
  <c r="D12" i="1" s="1"/>
  <c r="D11" i="1"/>
  <c r="B11" i="1"/>
  <c r="C38" i="4"/>
  <c r="B12" i="1" s="1"/>
  <c r="E11" i="1" l="1"/>
  <c r="E12" i="1" s="1"/>
</calcChain>
</file>

<file path=xl/sharedStrings.xml><?xml version="1.0" encoding="utf-8"?>
<sst xmlns="http://schemas.openxmlformats.org/spreadsheetml/2006/main" count="433" uniqueCount="200">
  <si>
    <t>GTT (Gaztransport &amp; Technigaz): three-scenario DCF</t>
  </si>
  <si>
    <t>Valuation date 2026-10-16. €mm unless stated. Change blue/yellow cells in 'Inputs'; everything else recalculates.</t>
  </si>
  <si>
    <t>Bear</t>
  </si>
  <si>
    <t>Base</t>
  </si>
  <si>
    <t>Bull</t>
  </si>
  <si>
    <t>Prob.-weighted</t>
  </si>
  <si>
    <t>New orders a year 2027-35 (LNGC-eq.)</t>
  </si>
  <si>
    <t>2026 revenue</t>
  </si>
  <si>
    <t>2030 revenue</t>
  </si>
  <si>
    <t>2035 revenue</t>
  </si>
  <si>
    <t>2030 EBITDA margin</t>
  </si>
  <si>
    <t>Enterprise value</t>
  </si>
  <si>
    <t>Value per share (€)</t>
  </si>
  <si>
    <t>Upside / (downside)</t>
  </si>
  <si>
    <t>Terminal value as % of EV</t>
  </si>
  <si>
    <t>Probability</t>
  </si>
  <si>
    <t>Current share price (€)</t>
  </si>
  <si>
    <t>WACC</t>
  </si>
  <si>
    <t>Orders a year (2027-35) needed to justify the price</t>
  </si>
  <si>
    <t>2026 revenue vs company guidance (low end)</t>
  </si>
  <si>
    <t>Dividend yield (FY2025 dividend €8.94)</t>
  </si>
  <si>
    <t>Legend: blue = input, black = formula, green = link to another sheet, yellow = key assumption.</t>
  </si>
  <si>
    <t>Sources: GTT press releases FY2025 (2026-02-19) and H1 2026 (2026-07-28); Yahoo Finance 2026-10-16.</t>
  </si>
  <si>
    <t>Personal research, not investment advice.</t>
  </si>
  <si>
    <t>GTT (Gaztransport &amp; Technigaz): inputs and scenario levers (€mm unless stated)</t>
  </si>
  <si>
    <t>Blue = hardcoded input. Yellow = key assumption. Black = formula. Sources in column N.</t>
  </si>
  <si>
    <t>Market data and capital structure</t>
  </si>
  <si>
    <t>Share price (€)</t>
  </si>
  <si>
    <t>Yahoo Finance, close 2026-10-16</t>
  </si>
  <si>
    <t>Shares outstanding excl. treasury (mm)</t>
  </si>
  <si>
    <t>H1 2026 press release: weighted average 37,066,945 shares</t>
  </si>
  <si>
    <t>Cash at 30 June 2026</t>
  </si>
  <si>
    <t>H1 2026 press release, other consolidated financial data</t>
  </si>
  <si>
    <t>Debt at 30 June 2026 (Danelec acquisition loan)</t>
  </si>
  <si>
    <t>H1 2026 press release</t>
  </si>
  <si>
    <t>Net cash</t>
  </si>
  <si>
    <t>Formula (294.7 in the press release)</t>
  </si>
  <si>
    <t>Discount rate</t>
  </si>
  <si>
    <t>Risk-free rate (French OAT 10-year)</t>
  </si>
  <si>
    <t>Trading Economics, 2026-10-07: ~4.75% (spread over Bunds at a post-2011 high)</t>
  </si>
  <si>
    <t>Beta</t>
  </si>
  <si>
    <t>Assumption: regression beta 0.42 (Yahoo) looks too low for a business tied to shipbuilding orders</t>
  </si>
  <si>
    <t>Equity risk premium</t>
  </si>
  <si>
    <t>Assumption (author), Europe</t>
  </si>
  <si>
    <t>Cost of equity</t>
  </si>
  <si>
    <t>CAPM</t>
  </si>
  <si>
    <t>Pre-tax cost of debt</t>
  </si>
  <si>
    <t>Assumption</t>
  </si>
  <si>
    <t>Tax rate</t>
  </si>
  <si>
    <t>H1 2026 effective rate 15.2% (37.7 / 248.2); French IP box applies to royalties</t>
  </si>
  <si>
    <t>Market capitalisation</t>
  </si>
  <si>
    <t>Formula</t>
  </si>
  <si>
    <t>Formula, market-value weights</t>
  </si>
  <si>
    <t>Revenue engine and costs</t>
  </si>
  <si>
    <t>Royalty per LNG-carrier-equivalent order (€mm, 2026 terms)</t>
  </si>
  <si>
    <t>Derived: H1 2026 orders (65 units, ~60 LNGC-equivalent) added ~€570mm to the order-book revenue schedule</t>
  </si>
  <si>
    <t>Royalty escalation per year</t>
  </si>
  <si>
    <t>Assumption: shipbuilding price inflation</t>
  </si>
  <si>
    <t>Recognition: year after order</t>
  </si>
  <si>
    <t>Derived from the change in the order-book schedule Dec-25 -&gt; Jun-26: 2027 +113, 2028 +317, 2029+ +140</t>
  </si>
  <si>
    <t>Recognition: second year after order</t>
  </si>
  <si>
    <t>Same derivation</t>
  </si>
  <si>
    <t>Recognition: third year after order</t>
  </si>
  <si>
    <t xml:space="preserve">  Check (must be 100%)</t>
  </si>
  <si>
    <t>Core operating costs 2026 (excl. GTT Marine)</t>
  </si>
  <si>
    <t>H1 2026: revenue 387.3 - EBITDA 263.6 = 123.7 of costs; ~250/yr less GTT Marine costs (~57)</t>
  </si>
  <si>
    <t>Core cost growth per year</t>
  </si>
  <si>
    <t>Assumption: wages and R&amp;D</t>
  </si>
  <si>
    <t>GTT Marine revenue 2026E</t>
  </si>
  <si>
    <t>H1 2026: 31.8 (Danelec consolidated); assumption for H2</t>
  </si>
  <si>
    <t>GTT Marine EBITDA margin</t>
  </si>
  <si>
    <t>H1 2026: EBITDA 5.7 on revenue 31.8</t>
  </si>
  <si>
    <t>Services and other revenue 2026E</t>
  </si>
  <si>
    <t>H1 2026 services 10.8; FY2025 23.0</t>
  </si>
  <si>
    <t>Services growth per year</t>
  </si>
  <si>
    <t>D&amp;A per year</t>
  </si>
  <si>
    <t>H1 2026 EBITDA - EBIT = 15.4 (includes Danelec purchase-price amortisation)</t>
  </si>
  <si>
    <t>Capex per year (net of subsidies)</t>
  </si>
  <si>
    <t>Assumption: H1 2026 gross 14.5 less 12.3 subsidy; 2024 68.5 incl. headquarters</t>
  </si>
  <si>
    <t>Change in NWC as % of change in revenue</t>
  </si>
  <si>
    <t>Assumption; FY2025 working capital rose 26.4 on +161.7 revenue</t>
  </si>
  <si>
    <t>H2 2026 FCF as share of modelled FY2026 FCF</t>
  </si>
  <si>
    <t>Cash generated after 30 June 2026, added to net cash</t>
  </si>
  <si>
    <t>Revenue already secured by the order book (company schedule at 30 June 2026)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</si>
  <si>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</si>
  <si>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</si>
  <si>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</si>
  <si>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</si>
  <si>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</si>
  <si>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</si>
  <si>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</si>
  <si>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</si>
  <si>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</si>
  <si>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</si>
  <si>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 xml:space="preserve">  Core business order-book revenue</t>
  </si>
  <si>
    <t>H1 2026 press release: 1,853 = H2-26 300 + 2027 655 + 2028 603 + 2029+ 295. 2026 = H1 actual 344.7 + 300; 2029+ split 75/25 over 2029-30 (assumption)</t>
  </si>
  <si>
    <t>Scenarios: new orders in LNG-carrier equivalents (2026 column = second half only)</t>
  </si>
  <si>
    <t>Bear case</t>
  </si>
  <si>
    <t>LNG shipping is over-ordered after the 2022-26 wave and competing membrane designs win share in China: 35 orders a year.</t>
  </si>
  <si>
    <t xml:space="preserve">  New orders (units)</t>
  </si>
  <si>
    <t xml:space="preserve">  GTT Marine revenue growth</t>
  </si>
  <si>
    <t xml:space="preserve">  Terminal growth</t>
  </si>
  <si>
    <t>Base case</t>
  </si>
  <si>
    <t>Company's own 10-year estimate (c.550 LNG carriers + ethane, FSRU, FLNG, onshore) ~ 60 LNGC-equivalent a year.</t>
  </si>
  <si>
    <t>Bull case</t>
  </si>
  <si>
    <t>LNG demand upgrades (US, Qatar, Mozambique) and fleet renewal push orders well above the company's estimate.</t>
  </si>
  <si>
    <t>Reverse-DCF helper (orders = 0 from 2027; rest = base)</t>
  </si>
  <si>
    <t>Reverse-DCF helper (orders = 1 from 2027; rest = base)</t>
  </si>
  <si>
    <t>Scenario probabilities</t>
  </si>
  <si>
    <t xml:space="preserve">  Bear</t>
  </si>
  <si>
    <t>Author's judgement</t>
  </si>
  <si>
    <t xml:space="preserve">  Base</t>
  </si>
  <si>
    <t xml:space="preserve">  Bull</t>
  </si>
  <si>
    <t>For reference</t>
  </si>
  <si>
    <t xml:space="preserve">  Company 2026 revenue guidance, low / high</t>
  </si>
  <si>
    <t>H1 2026 press release (guidance confirmed)</t>
  </si>
  <si>
    <t xml:space="preserve">  Company 2026 EBITDA guidance, low / high</t>
  </si>
  <si>
    <t xml:space="preserve">  Consensus revenue 2026 / 2027</t>
  </si>
  <si>
    <t>Yahoo Finance analyst estimates, 2026-10-16 (12 analysts; mean target €234.25)</t>
  </si>
  <si>
    <t xml:space="preserve">  Consensus EPS 2026 / 2027 (€)</t>
  </si>
  <si>
    <t xml:space="preserve">  Dividend policy: payout ~80% of consolidated net income (FY2025 dividend €8.94; interim 2026 €4.30)</t>
  </si>
  <si>
    <t>GTT: historical figures (€mm)</t>
  </si>
  <si>
    <t>Sources: GTT FY2025 and H1 2026 press releases; FY2021-23 from company figures via stockanalysis.com / Yahoo Finance.</t>
  </si>
  <si>
    <t>€mm</t>
  </si>
  <si>
    <t>2021</t>
  </si>
  <si>
    <t>2022</t>
  </si>
  <si>
    <t>2023</t>
  </si>
  <si>
    <t>2024</t>
  </si>
  <si>
    <t>2025</t>
  </si>
  <si>
    <t>H1 2025</t>
  </si>
  <si>
    <t>H1 2026</t>
  </si>
  <si>
    <t>Revenue</t>
  </si>
  <si>
    <t>EBITDA</t>
  </si>
  <si>
    <t>Operating income (EBIT)</t>
  </si>
  <si>
    <t>Net income</t>
  </si>
  <si>
    <t>EPS (€)</t>
  </si>
  <si>
    <t>Dividend per share (€)</t>
  </si>
  <si>
    <t>EBITDA margin</t>
  </si>
  <si>
    <t>EBIT margin</t>
  </si>
  <si>
    <t>Payout (dividend / EPS)</t>
  </si>
  <si>
    <t>Order book (core business, excl. LNG as fuel)</t>
  </si>
  <si>
    <t>Units</t>
  </si>
  <si>
    <t>Revenue schedule (€mm)</t>
  </si>
  <si>
    <t>31 Dec 2025</t>
  </si>
  <si>
    <t>2026: 609 · 2027: 542 · 2028: 286 · 2029+: 155 (total 1,592)</t>
  </si>
  <si>
    <t>30 Jun 2026</t>
  </si>
  <si>
    <t>H2-26: 300 · 2027: 655 · 2028: 603 · 2029+: 295 (total 1,853)</t>
  </si>
  <si>
    <t>Orders: 2022 peak 162 units; 2025: 45 (37 LNG carriers); H1 2026: 65 (56 LNG carriers)</t>
  </si>
  <si>
    <t>Company 10-year order estimate 2026-2035: c.550 LNG carriers, 25-40 ethane carriers, ≤10 FSRUs, ≤10 FLNGs, c.30 onshore tanks</t>
  </si>
  <si>
    <t>DCF by scenario (€mm). FY = calendar year. Cash flows 2027-2035 discounted from end-2026; H2 2026 cash flow added to net cash.</t>
  </si>
  <si>
    <t>Order-book revenue (already signed)</t>
  </si>
  <si>
    <t>New orders (units)</t>
  </si>
  <si>
    <t>Royalty per unit</t>
  </si>
  <si>
    <t>Value of new orders</t>
  </si>
  <si>
    <t>Revenue from new orders</t>
  </si>
  <si>
    <t>Core containment revenue</t>
  </si>
  <si>
    <t>GTT Marine revenue</t>
  </si>
  <si>
    <t>Services and other</t>
  </si>
  <si>
    <t>Total revenue</t>
  </si>
  <si>
    <t>Core operating costs</t>
  </si>
  <si>
    <t>GTT Marine costs</t>
  </si>
  <si>
    <t>D&amp;A</t>
  </si>
  <si>
    <t>EBIT</t>
  </si>
  <si>
    <t>Taxes</t>
  </si>
  <si>
    <t>NOPAT</t>
  </si>
  <si>
    <t>Capex</t>
  </si>
  <si>
    <t>Change in NWC</t>
  </si>
  <si>
    <t>Free cash flow</t>
  </si>
  <si>
    <t>Discount period (years)</t>
  </si>
  <si>
    <t>Discount factor</t>
  </si>
  <si>
    <t>PV of FCF</t>
  </si>
  <si>
    <t>Terminal growth</t>
  </si>
  <si>
    <t>Terminal value at 2035</t>
  </si>
  <si>
    <t>PV of terminal value</t>
  </si>
  <si>
    <t>Sum of PV of FCF (2027-35)</t>
  </si>
  <si>
    <t>+ Net cash at 30 June 2026</t>
  </si>
  <si>
    <t>+ H2 2026 free cash flow</t>
  </si>
  <si>
    <t>Equity value</t>
  </si>
  <si>
    <t>Upside / (downside) vs price</t>
  </si>
  <si>
    <t>Implied P/E on 2027 NOPAT</t>
  </si>
  <si>
    <t>Average new orders 2027-35 (units/yr)</t>
  </si>
  <si>
    <t>Helper blocks for the reverse DCF (base case with 0 and 1 new orders a year from 2027)</t>
  </si>
  <si>
    <t>Rev0 case</t>
  </si>
  <si>
    <t>Rev1 case</t>
  </si>
  <si>
    <t>What do you have to believe? Orders a year (LNG-carrier equivalents, 2027-35) that justify the price; everything else as in the base case.</t>
  </si>
  <si>
    <t>Value is linear in orders, so it is solved exactly from two helper DCFs (0 and 1 order a year).</t>
  </si>
  <si>
    <t>Target equity value (price x shares)</t>
  </si>
  <si>
    <t>Equity value with 0 orders a year</t>
  </si>
  <si>
    <t>Extra equity value per order a year</t>
  </si>
  <si>
    <t>Implied orders a year, 2027-2035</t>
  </si>
  <si>
    <t xml:space="preserve">  Base case assumption</t>
  </si>
  <si>
    <t xml:space="preserve">  Company 10-year estimate (c.550 LNGC + other units, per year)</t>
  </si>
  <si>
    <t>Free cash flow rows used by the grid (€mm)</t>
  </si>
  <si>
    <t>F0: FCF with 0 orders a year</t>
  </si>
  <si>
    <t>dF: FCF per order a year</t>
  </si>
  <si>
    <t>Discount period</t>
  </si>
  <si>
    <t>Value per share (€): WACC (rows) x new orders a year 2027-35 (columns)</t>
  </si>
  <si>
    <t>WACC \ orders</t>
  </si>
  <si>
    <t>Current price (€)</t>
  </si>
  <si>
    <t>Model 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</si>
</sst>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€#,##0.00;\(\€#,##0.00\);&quot;-&quot;"/>
    <numFmt numFmtId="165" formatCode="0.000"/>
    <numFmt numFmtId="166" formatCode="#,##0.0;\(#,##0.0\);&quot;-&quot;"/>
    <numFmt numFmtId="167" formatCode="0.0%;\(0.0%\);&quot;-&quot;"/>
    <numFmt numFmtId="168" formatCode="0.0&quot;x&quot;"/>
    <numFmt numFmtId="169" formatCode="0.0"/>
    <numFmt numFmtId="170" formatCode="\€#,##0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0000FF"/>
      <name val="Arial"/>
    </font>
    <font>
      <b/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3" fillId="0" borderId="0" xfId="0" applyFont="1"/>
    <xf numFmtId="1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4" fontId="7" fillId="0" borderId="0" xfId="0" applyNumberFormat="1" applyFont="1"/>
    <xf numFmtId="164" fontId="1" fillId="0" borderId="0" xfId="0" applyNumberFormat="1" applyFont="1"/>
    <xf numFmtId="167" fontId="3" fillId="0" borderId="0" xfId="0" applyNumberFormat="1" applyFont="1"/>
    <xf numFmtId="164" fontId="5" fillId="0" borderId="0" xfId="0" applyNumberFormat="1" applyFont="1"/>
    <xf numFmtId="169" fontId="7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6" fontId="3" fillId="0" borderId="0" xfId="0" applyNumberFormat="1" applyFont="1"/>
    <xf numFmtId="167" fontId="4" fillId="0" borderId="0" xfId="0" applyNumberFormat="1" applyFont="1"/>
    <xf numFmtId="2" fontId="4" fillId="2" borderId="0" xfId="0" applyNumberFormat="1" applyFont="1" applyFill="1"/>
    <xf numFmtId="166" fontId="4" fillId="2" borderId="0" xfId="0" applyNumberFormat="1" applyFont="1" applyFill="1"/>
    <xf numFmtId="1" fontId="4" fillId="0" borderId="0" xfId="0" applyNumberFormat="1" applyFont="1"/>
    <xf numFmtId="167" fontId="4" fillId="2" borderId="0" xfId="0" applyNumberFormat="1" applyFont="1" applyFill="1"/>
    <xf numFmtId="166" fontId="1" fillId="0" borderId="0" xfId="0" applyNumberFormat="1" applyFont="1"/>
    <xf numFmtId="165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169" fontId="1" fillId="0" borderId="0" xfId="0" applyNumberFormat="1" applyFont="1"/>
    <xf numFmtId="1" fontId="6" fillId="3" borderId="0" xfId="0" applyNumberFormat="1" applyFont="1" applyFill="1" applyAlignment="1">
      <alignment horizontal="center"/>
    </xf>
    <xf numFmtId="167" fontId="6" fillId="0" borderId="0" xfId="0" applyNumberFormat="1" applyFont="1"/>
    <xf numFmtId="17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abSelected="1" workbookViewId="0"/>
  </sheetViews>
  <sheetFormatPr baseColWidth="10" defaultColWidth="8.88671875" defaultRowHeight="14.4" x14ac:dyDescent="0.3"/>
  <cols>
    <col min="1" max="1" width="46" customWidth="1"/>
    <col min="2" max="5" width="15" customWidth="1"/>
  </cols>
  <sheetData>
    <row r="1" spans="1:5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/>
      <c r="B4" s="4" t="s">
        <v>2</v>
      </c>
      <c r="C4" s="4" t="s">
        <v>3</v>
      </c>
      <c r="D4" s="4" t="s">
        <v>4</v>
      </c>
      <c r="E4" s="4" t="s">
        <v>5</v>
      </c>
    </row>
    <row r="5" spans="1:5" x14ac:dyDescent="0.3">
      <c r="A5" s="5" t="s">
        <v>6</v>
      </c>
      <c r="B5" s="6">
        <f>DCF!C41</f>
        <v>35</v>
      </c>
      <c r="C5" s="6">
        <f>DCF!C82</f>
        <v>60</v>
      </c>
      <c r="D5" s="6">
        <f>DCF!C123</f>
        <v>75</v>
      </c>
    </row>
    <row r="6" spans="1:5" x14ac:dyDescent="0.3">
      <c r="A6" s="5" t="s">
        <v>7</v>
      </c>
      <c r="B6" s="7">
        <f>DCF!C13</f>
        <v>736.7</v>
      </c>
      <c r="C6" s="7">
        <f>DCF!C54</f>
        <v>736.7</v>
      </c>
      <c r="D6" s="7">
        <f>DCF!C95</f>
        <v>736.7</v>
      </c>
    </row>
    <row r="7" spans="1:5" x14ac:dyDescent="0.3">
      <c r="A7" s="5" t="s">
        <v>8</v>
      </c>
      <c r="B7" s="7">
        <f>DCF!G13</f>
        <v>522.02010622</v>
      </c>
      <c r="C7" s="7">
        <f>DCF!G54</f>
        <v>785.34084671999994</v>
      </c>
      <c r="D7" s="7">
        <f>DCF!G95</f>
        <v>948.37625272000002</v>
      </c>
    </row>
    <row r="8" spans="1:5" x14ac:dyDescent="0.3">
      <c r="A8" s="5" t="s">
        <v>9</v>
      </c>
      <c r="B8" s="7">
        <f>DCF!L13</f>
        <v>499.21965078707069</v>
      </c>
      <c r="C8" s="7">
        <f>DCF!L54</f>
        <v>820.38263139442881</v>
      </c>
      <c r="D8" s="7">
        <f>DCF!L95</f>
        <v>1038.1078882654886</v>
      </c>
    </row>
    <row r="9" spans="1:5" x14ac:dyDescent="0.3">
      <c r="A9" s="5" t="s">
        <v>10</v>
      </c>
      <c r="B9" s="8">
        <f>DCF!G17</f>
        <v>0.46012154959941953</v>
      </c>
      <c r="C9" s="8">
        <f>DCF!G58</f>
        <v>0.62396548216307191</v>
      </c>
      <c r="D9" s="8">
        <f>DCF!G99</f>
        <v>0.6757160349471556</v>
      </c>
    </row>
    <row r="10" spans="1:5" x14ac:dyDescent="0.3">
      <c r="A10" s="5" t="s">
        <v>11</v>
      </c>
      <c r="B10" s="7">
        <f>DCF!C33</f>
        <v>1946.2973533168824</v>
      </c>
      <c r="C10" s="7">
        <f>DCF!C74</f>
        <v>4306.551329446238</v>
      </c>
      <c r="D10" s="7">
        <f>DCF!C115</f>
        <v>5879.4111301000958</v>
      </c>
    </row>
    <row r="11" spans="1:5" x14ac:dyDescent="0.3">
      <c r="A11" s="1" t="s">
        <v>12</v>
      </c>
      <c r="B11" s="9">
        <f>DCF!C37</f>
        <v>65.628277263249856</v>
      </c>
      <c r="C11" s="9">
        <f>DCF!C78</f>
        <v>129.30362126544466</v>
      </c>
      <c r="D11" s="9">
        <f>DCF!C119</f>
        <v>171.73650767799109</v>
      </c>
      <c r="E11" s="10">
        <f>SUMPRODUCT(B11:D11,B14:D14)</f>
        <v>123.99300686803257</v>
      </c>
    </row>
    <row r="12" spans="1:5" x14ac:dyDescent="0.3">
      <c r="A12" s="5" t="s">
        <v>13</v>
      </c>
      <c r="B12" s="8">
        <f>DCF!C38</f>
        <v>-0.68984746094872462</v>
      </c>
      <c r="C12" s="8">
        <f>DCF!C79</f>
        <v>-0.38892428513494959</v>
      </c>
      <c r="D12" s="8">
        <f>DCF!C120</f>
        <v>-0.18839079547263193</v>
      </c>
      <c r="E12" s="11">
        <f>E11/Inputs!B5-1</f>
        <v>-0.41402170667281391</v>
      </c>
    </row>
    <row r="13" spans="1:5" x14ac:dyDescent="0.3">
      <c r="A13" s="5" t="s">
        <v>14</v>
      </c>
      <c r="B13" s="8">
        <f>DCF!C39</f>
        <v>0.27680807317036243</v>
      </c>
      <c r="C13" s="8">
        <f>DCF!C80</f>
        <v>0.44834261403027575</v>
      </c>
      <c r="D13" s="8">
        <f>DCF!C121</f>
        <v>0.49504469019887126</v>
      </c>
    </row>
    <row r="14" spans="1:5" x14ac:dyDescent="0.3">
      <c r="A14" s="5" t="s">
        <v>15</v>
      </c>
      <c r="B14" s="8">
        <f>Inputs!B70</f>
        <v>0.25</v>
      </c>
      <c r="C14" s="8">
        <f>Inputs!B71</f>
        <v>0.5</v>
      </c>
      <c r="D14" s="8">
        <f>Inputs!B72</f>
        <v>0.25</v>
      </c>
    </row>
    <row r="16" spans="1:5" x14ac:dyDescent="0.3">
      <c r="A16" s="5" t="s">
        <v>16</v>
      </c>
      <c r="B16" s="12">
        <f>Inputs!B5</f>
        <v>211.6</v>
      </c>
    </row>
    <row r="17" spans="1:2" x14ac:dyDescent="0.3">
      <c r="A17" s="5" t="s">
        <v>17</v>
      </c>
      <c r="B17" s="8">
        <f>Inputs!B19</f>
        <v>9.6280760279493574E-2</v>
      </c>
    </row>
    <row r="18" spans="1:2" x14ac:dyDescent="0.3">
      <c r="A18" s="1" t="s">
        <v>18</v>
      </c>
      <c r="B18" s="13">
        <f>'Reverse DCF'!C7</f>
        <v>96.276915832332094</v>
      </c>
    </row>
    <row r="19" spans="1:2" x14ac:dyDescent="0.3">
      <c r="A19" s="5" t="s">
        <v>19</v>
      </c>
      <c r="B19" s="11">
        <f>C6/Inputs!B76-1</f>
        <v>-4.4594594594593584E-3</v>
      </c>
    </row>
    <row r="20" spans="1:2" x14ac:dyDescent="0.3">
      <c r="A20" s="5" t="s">
        <v>20</v>
      </c>
      <c r="B20" s="8">
        <f>Historical!F10/Inputs!B5</f>
        <v>4.2249527410207939E-2</v>
      </c>
    </row>
    <row r="22" spans="1:2" x14ac:dyDescent="0.3">
      <c r="A22" s="2" t="s">
        <v>21</v>
      </c>
    </row>
    <row r="23" spans="1:2" x14ac:dyDescent="0.3">
      <c r="A23" s="2" t="s">
        <v>22</v>
      </c>
    </row>
    <row r="24" spans="1:2" x14ac:dyDescent="0.3">
      <c r="A24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0"/>
  <sheetViews>
    <sheetView showGridLines="0" workbookViewId="0"/>
  </sheetViews>
  <sheetFormatPr baseColWidth="10" defaultColWidth="8.88671875" defaultRowHeight="14.4" x14ac:dyDescent="0.3"/>
  <cols>
    <col min="1" max="1" width="50" customWidth="1"/>
    <col min="2" max="13" width="10" customWidth="1"/>
    <col min="14" max="14" width="90" customWidth="1"/>
  </cols>
  <sheetData>
    <row r="1" spans="1:14" x14ac:dyDescent="0.3">
      <c r="A1" s="1" t="s">
        <v>24</v>
      </c>
    </row>
    <row r="2" spans="1:14" x14ac:dyDescent="0.3">
      <c r="A2" s="2" t="s">
        <v>25</v>
      </c>
    </row>
    <row r="4" spans="1:14" x14ac:dyDescent="0.3">
      <c r="A4" s="1" t="s">
        <v>26</v>
      </c>
    </row>
    <row r="5" spans="1:14" x14ac:dyDescent="0.3">
      <c r="A5" s="5" t="s">
        <v>27</v>
      </c>
      <c r="B5" s="14">
        <v>211.6</v>
      </c>
      <c r="N5" s="2" t="s">
        <v>28</v>
      </c>
    </row>
    <row r="6" spans="1:14" x14ac:dyDescent="0.3">
      <c r="A6" s="5" t="s">
        <v>29</v>
      </c>
      <c r="B6" s="15">
        <v>37.067</v>
      </c>
      <c r="N6" s="2" t="s">
        <v>30</v>
      </c>
    </row>
    <row r="7" spans="1:14" x14ac:dyDescent="0.3">
      <c r="A7" s="5" t="s">
        <v>31</v>
      </c>
      <c r="B7" s="16">
        <v>384.7</v>
      </c>
      <c r="N7" s="2" t="s">
        <v>32</v>
      </c>
    </row>
    <row r="8" spans="1:14" x14ac:dyDescent="0.3">
      <c r="A8" s="5" t="s">
        <v>33</v>
      </c>
      <c r="B8" s="16">
        <v>90</v>
      </c>
      <c r="N8" s="2" t="s">
        <v>34</v>
      </c>
    </row>
    <row r="9" spans="1:14" x14ac:dyDescent="0.3">
      <c r="A9" s="5" t="s">
        <v>35</v>
      </c>
      <c r="B9" s="17">
        <f>B7-B8</f>
        <v>294.7</v>
      </c>
      <c r="N9" s="2" t="s">
        <v>36</v>
      </c>
    </row>
    <row r="11" spans="1:14" x14ac:dyDescent="0.3">
      <c r="A11" s="1" t="s">
        <v>37</v>
      </c>
    </row>
    <row r="12" spans="1:14" x14ac:dyDescent="0.3">
      <c r="A12" s="5" t="s">
        <v>38</v>
      </c>
      <c r="B12" s="18">
        <v>4.7500000000000001E-2</v>
      </c>
      <c r="N12" s="2" t="s">
        <v>39</v>
      </c>
    </row>
    <row r="13" spans="1:14" x14ac:dyDescent="0.3">
      <c r="A13" s="5" t="s">
        <v>40</v>
      </c>
      <c r="B13" s="19">
        <v>0.9</v>
      </c>
      <c r="N13" s="2" t="s">
        <v>41</v>
      </c>
    </row>
    <row r="14" spans="1:14" x14ac:dyDescent="0.3">
      <c r="A14" s="5" t="s">
        <v>42</v>
      </c>
      <c r="B14" s="18">
        <v>5.5E-2</v>
      </c>
      <c r="N14" s="2" t="s">
        <v>43</v>
      </c>
    </row>
    <row r="15" spans="1:14" x14ac:dyDescent="0.3">
      <c r="A15" s="5" t="s">
        <v>44</v>
      </c>
      <c r="B15" s="11">
        <f>B12+B13*B14</f>
        <v>9.7000000000000003E-2</v>
      </c>
      <c r="N15" s="2" t="s">
        <v>45</v>
      </c>
    </row>
    <row r="16" spans="1:14" x14ac:dyDescent="0.3">
      <c r="A16" s="5" t="s">
        <v>46</v>
      </c>
      <c r="B16" s="18">
        <v>0.04</v>
      </c>
      <c r="N16" s="2" t="s">
        <v>47</v>
      </c>
    </row>
    <row r="17" spans="1:14" x14ac:dyDescent="0.3">
      <c r="A17" s="5" t="s">
        <v>48</v>
      </c>
      <c r="B17" s="18">
        <v>0.16</v>
      </c>
      <c r="N17" s="2" t="s">
        <v>49</v>
      </c>
    </row>
    <row r="18" spans="1:14" x14ac:dyDescent="0.3">
      <c r="A18" s="5" t="s">
        <v>50</v>
      </c>
      <c r="B18" s="17">
        <f>B5*B6</f>
        <v>7843.3771999999999</v>
      </c>
      <c r="N18" s="2" t="s">
        <v>51</v>
      </c>
    </row>
    <row r="19" spans="1:14" x14ac:dyDescent="0.3">
      <c r="A19" s="5" t="s">
        <v>17</v>
      </c>
      <c r="B19" s="11">
        <f>(B18*B15+B8*B16*(1-B17))/(B18+B8)</f>
        <v>9.6280760279493574E-2</v>
      </c>
      <c r="N19" s="2" t="s">
        <v>52</v>
      </c>
    </row>
    <row r="21" spans="1:14" x14ac:dyDescent="0.3">
      <c r="A21" s="1" t="s">
        <v>53</v>
      </c>
    </row>
    <row r="22" spans="1:14" x14ac:dyDescent="0.3">
      <c r="A22" s="5" t="s">
        <v>54</v>
      </c>
      <c r="B22" s="20">
        <v>9.5</v>
      </c>
      <c r="N22" s="2" t="s">
        <v>55</v>
      </c>
    </row>
    <row r="23" spans="1:14" x14ac:dyDescent="0.3">
      <c r="A23" s="5" t="s">
        <v>56</v>
      </c>
      <c r="B23" s="18">
        <v>0.02</v>
      </c>
      <c r="N23" s="2" t="s">
        <v>57</v>
      </c>
    </row>
    <row r="24" spans="1:14" x14ac:dyDescent="0.3">
      <c r="A24" s="5" t="s">
        <v>58</v>
      </c>
      <c r="B24" s="18">
        <v>0.2</v>
      </c>
      <c r="N24" s="2" t="s">
        <v>59</v>
      </c>
    </row>
    <row r="25" spans="1:14" x14ac:dyDescent="0.3">
      <c r="A25" s="5" t="s">
        <v>60</v>
      </c>
      <c r="B25" s="18">
        <v>0.55000000000000004</v>
      </c>
      <c r="N25" s="2" t="s">
        <v>61</v>
      </c>
    </row>
    <row r="26" spans="1:14" x14ac:dyDescent="0.3">
      <c r="A26" s="5" t="s">
        <v>62</v>
      </c>
      <c r="B26" s="18">
        <v>0.25</v>
      </c>
      <c r="N26" s="2" t="s">
        <v>61</v>
      </c>
    </row>
    <row r="27" spans="1:14" x14ac:dyDescent="0.3">
      <c r="A27" s="5" t="s">
        <v>63</v>
      </c>
      <c r="B27" s="11">
        <f>SUM(B24:B26)</f>
        <v>1</v>
      </c>
      <c r="N27" s="2" t="s">
        <v>51</v>
      </c>
    </row>
    <row r="28" spans="1:14" x14ac:dyDescent="0.3">
      <c r="A28" s="5" t="s">
        <v>64</v>
      </c>
      <c r="B28" s="16">
        <v>193</v>
      </c>
      <c r="N28" s="2" t="s">
        <v>65</v>
      </c>
    </row>
    <row r="29" spans="1:14" x14ac:dyDescent="0.3">
      <c r="A29" s="5" t="s">
        <v>66</v>
      </c>
      <c r="B29" s="18">
        <v>0.03</v>
      </c>
      <c r="N29" s="2" t="s">
        <v>67</v>
      </c>
    </row>
    <row r="30" spans="1:14" x14ac:dyDescent="0.3">
      <c r="A30" s="5" t="s">
        <v>68</v>
      </c>
      <c r="B30" s="16">
        <v>70</v>
      </c>
      <c r="N30" s="2" t="s">
        <v>69</v>
      </c>
    </row>
    <row r="31" spans="1:14" x14ac:dyDescent="0.3">
      <c r="A31" s="5" t="s">
        <v>70</v>
      </c>
      <c r="B31" s="18">
        <v>0.18</v>
      </c>
      <c r="N31" s="2" t="s">
        <v>71</v>
      </c>
    </row>
    <row r="32" spans="1:14" x14ac:dyDescent="0.3">
      <c r="A32" s="5" t="s">
        <v>72</v>
      </c>
      <c r="B32" s="16">
        <v>22</v>
      </c>
      <c r="N32" s="2" t="s">
        <v>73</v>
      </c>
    </row>
    <row r="33" spans="1:14" x14ac:dyDescent="0.3">
      <c r="A33" s="5" t="s">
        <v>74</v>
      </c>
      <c r="B33" s="18">
        <v>0.02</v>
      </c>
      <c r="N33" s="2" t="s">
        <v>47</v>
      </c>
    </row>
    <row r="34" spans="1:14" x14ac:dyDescent="0.3">
      <c r="A34" s="5" t="s">
        <v>75</v>
      </c>
      <c r="B34" s="16">
        <v>30</v>
      </c>
      <c r="N34" s="2" t="s">
        <v>76</v>
      </c>
    </row>
    <row r="35" spans="1:14" x14ac:dyDescent="0.3">
      <c r="A35" s="5" t="s">
        <v>77</v>
      </c>
      <c r="B35" s="16">
        <v>30</v>
      </c>
      <c r="N35" s="2" t="s">
        <v>78</v>
      </c>
    </row>
    <row r="36" spans="1:14" x14ac:dyDescent="0.3">
      <c r="A36" s="5" t="s">
        <v>79</v>
      </c>
      <c r="B36" s="18">
        <v>0.1</v>
      </c>
      <c r="N36" s="2" t="s">
        <v>80</v>
      </c>
    </row>
    <row r="37" spans="1:14" x14ac:dyDescent="0.3">
      <c r="A37" s="5" t="s">
        <v>81</v>
      </c>
      <c r="B37" s="18">
        <v>0.5</v>
      </c>
      <c r="N37" s="2" t="s">
        <v>82</v>
      </c>
    </row>
    <row r="39" spans="1:14" x14ac:dyDescent="0.3">
      <c r="A39" s="1" t="s">
        <v>83</v>
      </c>
    </row>
    <row r="40" spans="1:14" x14ac:dyDescent="0.3">
      <c r="A40" s="3"/>
      <c r="B40" s="4"/>
      <c r="C40" s="4" t="s">
        <v>84</v>
      </c>
      <c r="D40" s="4" t="s">
        <v>85</v>
      </c>
      <c r="E40" s="4" t="s">
        <v>86</v>
      </c>
      <c r="F40" s="4" t="s">
        <v>87</v>
      </c>
      <c r="G40" s="4" t="s">
        <v>88</v>
      </c>
      <c r="H40" s="4" t="s">
        <v>89</v>
      </c>
      <c r="I40" s="4" t="s">
        <v>90</v>
      </c>
      <c r="J40" s="4" t="s">
        <v>91</v>
      </c>
      <c r="K40" s="4" t="s">
        <v>92</v>
      </c>
      <c r="L40" s="4" t="s">
        <v>93</v>
      </c>
    </row>
    <row r="41" spans="1:14" x14ac:dyDescent="0.3">
      <c r="A41" s="5" t="s">
        <v>94</v>
      </c>
      <c r="C41" s="16">
        <v>644.70000000000005</v>
      </c>
      <c r="D41" s="16">
        <v>655</v>
      </c>
      <c r="E41" s="16">
        <v>603</v>
      </c>
      <c r="F41" s="16">
        <v>221.3</v>
      </c>
      <c r="G41" s="16">
        <v>73.8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N41" s="2" t="s">
        <v>95</v>
      </c>
    </row>
    <row r="43" spans="1:14" x14ac:dyDescent="0.3">
      <c r="A43" s="1" t="s">
        <v>96</v>
      </c>
    </row>
    <row r="44" spans="1:14" x14ac:dyDescent="0.3">
      <c r="A44" s="1" t="s">
        <v>97</v>
      </c>
      <c r="N44" s="2" t="s">
        <v>98</v>
      </c>
    </row>
    <row r="45" spans="1:14" x14ac:dyDescent="0.3">
      <c r="A45" s="5" t="s">
        <v>99</v>
      </c>
      <c r="C45" s="21">
        <v>15</v>
      </c>
      <c r="D45" s="21">
        <v>35</v>
      </c>
      <c r="E45" s="21">
        <v>35</v>
      </c>
      <c r="F45" s="21">
        <v>35</v>
      </c>
      <c r="G45" s="21">
        <v>35</v>
      </c>
      <c r="H45" s="21">
        <v>35</v>
      </c>
      <c r="I45" s="21">
        <v>35</v>
      </c>
      <c r="J45" s="21">
        <v>35</v>
      </c>
      <c r="K45" s="21">
        <v>35</v>
      </c>
      <c r="L45" s="21">
        <v>35</v>
      </c>
    </row>
    <row r="46" spans="1:14" x14ac:dyDescent="0.3">
      <c r="A46" s="5" t="s">
        <v>100</v>
      </c>
      <c r="C46" s="18">
        <v>0.03</v>
      </c>
    </row>
    <row r="47" spans="1:14" x14ac:dyDescent="0.3">
      <c r="A47" s="5" t="s">
        <v>101</v>
      </c>
      <c r="C47" s="22">
        <v>0</v>
      </c>
    </row>
    <row r="49" spans="1:14" x14ac:dyDescent="0.3">
      <c r="A49" s="1" t="s">
        <v>102</v>
      </c>
      <c r="N49" s="2" t="s">
        <v>103</v>
      </c>
    </row>
    <row r="50" spans="1:14" x14ac:dyDescent="0.3">
      <c r="A50" s="5" t="s">
        <v>99</v>
      </c>
      <c r="C50" s="21">
        <v>30</v>
      </c>
      <c r="D50" s="21">
        <v>60</v>
      </c>
      <c r="E50" s="21">
        <v>60</v>
      </c>
      <c r="F50" s="21">
        <v>60</v>
      </c>
      <c r="G50" s="21">
        <v>60</v>
      </c>
      <c r="H50" s="21">
        <v>60</v>
      </c>
      <c r="I50" s="21">
        <v>60</v>
      </c>
      <c r="J50" s="21">
        <v>60</v>
      </c>
      <c r="K50" s="21">
        <v>60</v>
      </c>
      <c r="L50" s="21">
        <v>60</v>
      </c>
    </row>
    <row r="51" spans="1:14" x14ac:dyDescent="0.3">
      <c r="A51" s="5" t="s">
        <v>100</v>
      </c>
      <c r="C51" s="18">
        <v>0.08</v>
      </c>
    </row>
    <row r="52" spans="1:14" x14ac:dyDescent="0.3">
      <c r="A52" s="5" t="s">
        <v>101</v>
      </c>
      <c r="C52" s="22">
        <v>1.4999999999999999E-2</v>
      </c>
    </row>
    <row r="54" spans="1:14" x14ac:dyDescent="0.3">
      <c r="A54" s="1" t="s">
        <v>104</v>
      </c>
      <c r="N54" s="2" t="s">
        <v>105</v>
      </c>
    </row>
    <row r="55" spans="1:14" x14ac:dyDescent="0.3">
      <c r="A55" s="5" t="s">
        <v>99</v>
      </c>
      <c r="C55" s="21">
        <v>40</v>
      </c>
      <c r="D55" s="21">
        <v>75</v>
      </c>
      <c r="E55" s="21">
        <v>75</v>
      </c>
      <c r="F55" s="21">
        <v>75</v>
      </c>
      <c r="G55" s="21">
        <v>75</v>
      </c>
      <c r="H55" s="21">
        <v>75</v>
      </c>
      <c r="I55" s="21">
        <v>75</v>
      </c>
      <c r="J55" s="21">
        <v>75</v>
      </c>
      <c r="K55" s="21">
        <v>75</v>
      </c>
      <c r="L55" s="21">
        <v>75</v>
      </c>
    </row>
    <row r="56" spans="1:14" x14ac:dyDescent="0.3">
      <c r="A56" s="5" t="s">
        <v>100</v>
      </c>
      <c r="C56" s="18">
        <v>0.12</v>
      </c>
    </row>
    <row r="57" spans="1:14" x14ac:dyDescent="0.3">
      <c r="A57" s="5" t="s">
        <v>101</v>
      </c>
      <c r="C57" s="22">
        <v>0.02</v>
      </c>
    </row>
    <row r="59" spans="1:14" x14ac:dyDescent="0.3">
      <c r="A59" s="1" t="s">
        <v>106</v>
      </c>
    </row>
    <row r="60" spans="1:14" x14ac:dyDescent="0.3">
      <c r="A60" s="5" t="s">
        <v>99</v>
      </c>
      <c r="C60" s="6">
        <f>C50</f>
        <v>30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</row>
    <row r="61" spans="1:14" x14ac:dyDescent="0.3">
      <c r="A61" s="5" t="s">
        <v>100</v>
      </c>
      <c r="C61" s="8">
        <f>C51</f>
        <v>0.08</v>
      </c>
    </row>
    <row r="62" spans="1:14" x14ac:dyDescent="0.3">
      <c r="A62" s="5" t="s">
        <v>101</v>
      </c>
      <c r="C62" s="8">
        <f>C52</f>
        <v>1.4999999999999999E-2</v>
      </c>
    </row>
    <row r="64" spans="1:14" x14ac:dyDescent="0.3">
      <c r="A64" s="1" t="s">
        <v>107</v>
      </c>
    </row>
    <row r="65" spans="1:14" x14ac:dyDescent="0.3">
      <c r="A65" s="5" t="s">
        <v>99</v>
      </c>
      <c r="C65" s="6">
        <f>C50</f>
        <v>30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</row>
    <row r="66" spans="1:14" x14ac:dyDescent="0.3">
      <c r="A66" s="5" t="s">
        <v>100</v>
      </c>
      <c r="C66" s="8">
        <f>C51</f>
        <v>0.08</v>
      </c>
    </row>
    <row r="67" spans="1:14" x14ac:dyDescent="0.3">
      <c r="A67" s="5" t="s">
        <v>101</v>
      </c>
      <c r="C67" s="8">
        <f>C52</f>
        <v>1.4999999999999999E-2</v>
      </c>
    </row>
    <row r="69" spans="1:14" x14ac:dyDescent="0.3">
      <c r="A69" s="1" t="s">
        <v>108</v>
      </c>
    </row>
    <row r="70" spans="1:14" x14ac:dyDescent="0.3">
      <c r="A70" s="5" t="s">
        <v>109</v>
      </c>
      <c r="B70" s="22">
        <v>0.25</v>
      </c>
      <c r="N70" s="2" t="s">
        <v>110</v>
      </c>
    </row>
    <row r="71" spans="1:14" x14ac:dyDescent="0.3">
      <c r="A71" s="5" t="s">
        <v>111</v>
      </c>
      <c r="B71" s="22">
        <v>0.5</v>
      </c>
    </row>
    <row r="72" spans="1:14" x14ac:dyDescent="0.3">
      <c r="A72" s="5" t="s">
        <v>112</v>
      </c>
      <c r="B72" s="22">
        <v>0.25</v>
      </c>
    </row>
    <row r="73" spans="1:14" x14ac:dyDescent="0.3">
      <c r="A73" s="5" t="s">
        <v>63</v>
      </c>
      <c r="B73" s="11">
        <f>SUM(B70:B72)</f>
        <v>1</v>
      </c>
    </row>
    <row r="75" spans="1:14" x14ac:dyDescent="0.3">
      <c r="A75" s="1" t="s">
        <v>113</v>
      </c>
    </row>
    <row r="76" spans="1:14" x14ac:dyDescent="0.3">
      <c r="A76" s="5" t="s">
        <v>114</v>
      </c>
      <c r="B76" s="16">
        <v>740</v>
      </c>
      <c r="C76" s="16">
        <v>780</v>
      </c>
      <c r="N76" s="2" t="s">
        <v>115</v>
      </c>
    </row>
    <row r="77" spans="1:14" x14ac:dyDescent="0.3">
      <c r="A77" s="5" t="s">
        <v>116</v>
      </c>
      <c r="B77" s="16">
        <v>490</v>
      </c>
      <c r="C77" s="16">
        <v>530</v>
      </c>
    </row>
    <row r="78" spans="1:14" x14ac:dyDescent="0.3">
      <c r="A78" s="5" t="s">
        <v>117</v>
      </c>
      <c r="B78" s="16">
        <v>768.3</v>
      </c>
      <c r="C78" s="16">
        <v>814.8</v>
      </c>
      <c r="N78" s="2" t="s">
        <v>118</v>
      </c>
    </row>
    <row r="79" spans="1:14" x14ac:dyDescent="0.3">
      <c r="A79" s="5" t="s">
        <v>119</v>
      </c>
      <c r="B79" s="16">
        <v>11.31</v>
      </c>
      <c r="C79" s="16">
        <v>12.11</v>
      </c>
    </row>
    <row r="80" spans="1:14" x14ac:dyDescent="0.3">
      <c r="A80" s="2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showGridLines="0" workbookViewId="0"/>
  </sheetViews>
  <sheetFormatPr baseColWidth="10" defaultColWidth="8.88671875" defaultRowHeight="14.4" x14ac:dyDescent="0.3"/>
  <cols>
    <col min="1" max="1" width="44" customWidth="1"/>
    <col min="2" max="8" width="11" customWidth="1"/>
  </cols>
  <sheetData>
    <row r="1" spans="1:8" x14ac:dyDescent="0.3">
      <c r="A1" s="1" t="s">
        <v>121</v>
      </c>
    </row>
    <row r="2" spans="1:8" x14ac:dyDescent="0.3">
      <c r="A2" s="2" t="s">
        <v>122</v>
      </c>
    </row>
    <row r="4" spans="1:8" x14ac:dyDescent="0.3">
      <c r="A4" s="3" t="s">
        <v>123</v>
      </c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  <c r="G4" s="4" t="s">
        <v>129</v>
      </c>
      <c r="H4" s="4" t="s">
        <v>130</v>
      </c>
    </row>
    <row r="5" spans="1:8" x14ac:dyDescent="0.3">
      <c r="A5" s="1" t="s">
        <v>131</v>
      </c>
      <c r="B5" s="16">
        <v>314.7</v>
      </c>
      <c r="C5" s="16">
        <v>307.3</v>
      </c>
      <c r="D5" s="16">
        <v>427.7</v>
      </c>
      <c r="E5" s="16">
        <v>641.4</v>
      </c>
      <c r="F5" s="16">
        <v>803</v>
      </c>
      <c r="G5" s="16">
        <v>388.7</v>
      </c>
      <c r="H5" s="16">
        <v>387.3</v>
      </c>
    </row>
    <row r="6" spans="1:8" x14ac:dyDescent="0.3">
      <c r="A6" s="5" t="s">
        <v>132</v>
      </c>
      <c r="C6" s="16">
        <v>163.1</v>
      </c>
      <c r="D6" s="16">
        <v>241.2</v>
      </c>
      <c r="E6" s="16">
        <v>388.1</v>
      </c>
      <c r="F6" s="16">
        <v>541.79999999999995</v>
      </c>
      <c r="G6" s="16">
        <v>264.5</v>
      </c>
      <c r="H6" s="16">
        <v>263.60000000000002</v>
      </c>
    </row>
    <row r="7" spans="1:8" x14ac:dyDescent="0.3">
      <c r="A7" s="5" t="s">
        <v>133</v>
      </c>
      <c r="B7" s="16">
        <v>164.6</v>
      </c>
      <c r="C7" s="16">
        <v>152.19999999999999</v>
      </c>
      <c r="D7" s="16">
        <v>232.4</v>
      </c>
      <c r="E7" s="16">
        <v>374.3</v>
      </c>
      <c r="F7" s="16">
        <v>521.29999999999995</v>
      </c>
      <c r="G7" s="16">
        <v>257.10000000000002</v>
      </c>
      <c r="H7" s="16">
        <v>248.2</v>
      </c>
    </row>
    <row r="8" spans="1:8" x14ac:dyDescent="0.3">
      <c r="A8" s="5" t="s">
        <v>134</v>
      </c>
      <c r="B8" s="16">
        <v>134.1</v>
      </c>
      <c r="C8" s="16">
        <v>128.30000000000001</v>
      </c>
      <c r="D8" s="16">
        <v>201.4</v>
      </c>
      <c r="E8" s="16">
        <v>347.8</v>
      </c>
      <c r="F8" s="16">
        <v>413.6</v>
      </c>
      <c r="G8" s="16">
        <v>180</v>
      </c>
      <c r="H8" s="16">
        <v>210.4</v>
      </c>
    </row>
    <row r="9" spans="1:8" x14ac:dyDescent="0.3">
      <c r="A9" s="5" t="s">
        <v>135</v>
      </c>
      <c r="B9" s="14">
        <v>3.62</v>
      </c>
      <c r="C9" s="14">
        <v>3.46</v>
      </c>
      <c r="D9" s="14">
        <v>5.43</v>
      </c>
      <c r="E9" s="14">
        <v>9.4</v>
      </c>
      <c r="F9" s="14">
        <v>11.2</v>
      </c>
      <c r="G9" s="14">
        <v>4.8600000000000003</v>
      </c>
      <c r="H9" s="14">
        <v>5.68</v>
      </c>
    </row>
    <row r="10" spans="1:8" x14ac:dyDescent="0.3">
      <c r="A10" s="5" t="s">
        <v>136</v>
      </c>
      <c r="B10" s="14">
        <v>3.1</v>
      </c>
      <c r="C10" s="14">
        <v>3.1</v>
      </c>
      <c r="D10" s="14">
        <v>4.3600000000000003</v>
      </c>
      <c r="E10" s="14">
        <v>7.5</v>
      </c>
      <c r="F10" s="14">
        <v>8.94</v>
      </c>
      <c r="H10" s="14">
        <v>4.3</v>
      </c>
    </row>
    <row r="12" spans="1:8" x14ac:dyDescent="0.3">
      <c r="A12" s="5" t="s">
        <v>137</v>
      </c>
      <c r="B12" s="11" t="str">
        <f t="shared" ref="B12:H12" si="0">IF(B6="","",B6/B5)</f>
        <v/>
      </c>
      <c r="C12" s="11">
        <f t="shared" si="0"/>
        <v>0.53075170842824593</v>
      </c>
      <c r="D12" s="11">
        <f t="shared" si="0"/>
        <v>0.56394669160626609</v>
      </c>
      <c r="E12" s="11">
        <f t="shared" si="0"/>
        <v>0.60508263174306209</v>
      </c>
      <c r="F12" s="11">
        <f t="shared" si="0"/>
        <v>0.67471980074719795</v>
      </c>
      <c r="G12" s="11">
        <f t="shared" si="0"/>
        <v>0.68047337278106512</v>
      </c>
      <c r="H12" s="11">
        <f t="shared" si="0"/>
        <v>0.68060934675961793</v>
      </c>
    </row>
    <row r="13" spans="1:8" x14ac:dyDescent="0.3">
      <c r="A13" s="5" t="s">
        <v>138</v>
      </c>
      <c r="B13" s="11">
        <f t="shared" ref="B13:H13" si="1">B7/B5</f>
        <v>0.52303781379091197</v>
      </c>
      <c r="C13" s="11">
        <f t="shared" si="1"/>
        <v>0.49528148389196219</v>
      </c>
      <c r="D13" s="11">
        <f t="shared" si="1"/>
        <v>0.54337152209492634</v>
      </c>
      <c r="E13" s="11">
        <f t="shared" si="1"/>
        <v>0.5835671967570939</v>
      </c>
      <c r="F13" s="11">
        <f t="shared" si="1"/>
        <v>0.64919053549190531</v>
      </c>
      <c r="G13" s="11">
        <f t="shared" si="1"/>
        <v>0.66143555441214308</v>
      </c>
      <c r="H13" s="11">
        <f t="shared" si="1"/>
        <v>0.64084688871675699</v>
      </c>
    </row>
    <row r="14" spans="1:8" x14ac:dyDescent="0.3">
      <c r="A14" s="5" t="s">
        <v>139</v>
      </c>
      <c r="B14" s="11">
        <f t="shared" ref="B14:H14" si="2">IF(B10="","",B10/B9)</f>
        <v>0.85635359116022103</v>
      </c>
      <c r="C14" s="11">
        <f t="shared" si="2"/>
        <v>0.89595375722543358</v>
      </c>
      <c r="D14" s="11">
        <f t="shared" si="2"/>
        <v>0.80294659300184168</v>
      </c>
      <c r="E14" s="11">
        <f t="shared" si="2"/>
        <v>0.7978723404255319</v>
      </c>
      <c r="F14" s="11">
        <f t="shared" si="2"/>
        <v>0.79821428571428577</v>
      </c>
      <c r="G14" s="11" t="str">
        <f t="shared" si="2"/>
        <v/>
      </c>
      <c r="H14" s="11">
        <f t="shared" si="2"/>
        <v>0.75704225352112675</v>
      </c>
    </row>
    <row r="16" spans="1:8" x14ac:dyDescent="0.3">
      <c r="A16" s="1" t="s">
        <v>140</v>
      </c>
    </row>
    <row r="17" spans="1:8" x14ac:dyDescent="0.3">
      <c r="A17" s="3"/>
      <c r="B17" s="4" t="s">
        <v>141</v>
      </c>
      <c r="C17" s="4" t="s">
        <v>142</v>
      </c>
      <c r="D17" s="4"/>
      <c r="E17" s="4"/>
      <c r="F17" s="4"/>
      <c r="G17" s="4"/>
      <c r="H17" s="4"/>
    </row>
    <row r="18" spans="1:8" x14ac:dyDescent="0.3">
      <c r="A18" s="5" t="s">
        <v>143</v>
      </c>
      <c r="B18" s="21">
        <v>288</v>
      </c>
      <c r="C18" s="2" t="s">
        <v>144</v>
      </c>
    </row>
    <row r="19" spans="1:8" x14ac:dyDescent="0.3">
      <c r="A19" s="5" t="s">
        <v>145</v>
      </c>
      <c r="B19" s="21">
        <v>306</v>
      </c>
      <c r="C19" s="2" t="s">
        <v>146</v>
      </c>
    </row>
    <row r="20" spans="1:8" x14ac:dyDescent="0.3">
      <c r="A20" s="2" t="s">
        <v>147</v>
      </c>
    </row>
    <row r="21" spans="1:8" x14ac:dyDescent="0.3">
      <c r="A21" s="2" t="s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7"/>
  <sheetViews>
    <sheetView showGridLines="0" workbookViewId="0"/>
  </sheetViews>
  <sheetFormatPr baseColWidth="10" defaultColWidth="8.88671875" defaultRowHeight="14.4" x14ac:dyDescent="0.3"/>
  <cols>
    <col min="1" max="1" width="44" customWidth="1"/>
    <col min="2" max="2" width="4" customWidth="1"/>
    <col min="3" max="13" width="10" customWidth="1"/>
  </cols>
  <sheetData>
    <row r="1" spans="1:12" x14ac:dyDescent="0.3">
      <c r="A1" s="1" t="s">
        <v>149</v>
      </c>
    </row>
    <row r="3" spans="1:12" x14ac:dyDescent="0.3">
      <c r="A3" s="1" t="s">
        <v>97</v>
      </c>
    </row>
    <row r="4" spans="1:12" x14ac:dyDescent="0.3">
      <c r="A4" s="3" t="s">
        <v>123</v>
      </c>
      <c r="B4" s="4"/>
      <c r="C4" s="4" t="s">
        <v>84</v>
      </c>
      <c r="D4" s="4" t="s">
        <v>85</v>
      </c>
      <c r="E4" s="4" t="s">
        <v>86</v>
      </c>
      <c r="F4" s="4" t="s">
        <v>87</v>
      </c>
      <c r="G4" s="4" t="s">
        <v>88</v>
      </c>
      <c r="H4" s="4" t="s">
        <v>89</v>
      </c>
      <c r="I4" s="4" t="s">
        <v>90</v>
      </c>
      <c r="J4" s="4" t="s">
        <v>91</v>
      </c>
      <c r="K4" s="4" t="s">
        <v>92</v>
      </c>
      <c r="L4" s="4" t="s">
        <v>93</v>
      </c>
    </row>
    <row r="5" spans="1:12" x14ac:dyDescent="0.3">
      <c r="A5" s="5" t="s">
        <v>150</v>
      </c>
      <c r="C5" s="7">
        <f>Inputs!C$41</f>
        <v>644.70000000000005</v>
      </c>
      <c r="D5" s="7">
        <f>Inputs!D$41</f>
        <v>655</v>
      </c>
      <c r="E5" s="7">
        <f>Inputs!E$41</f>
        <v>603</v>
      </c>
      <c r="F5" s="7">
        <f>Inputs!F$41</f>
        <v>221.3</v>
      </c>
      <c r="G5" s="7">
        <f>Inputs!G$41</f>
        <v>73.8</v>
      </c>
      <c r="H5" s="7">
        <f>Inputs!H$41</f>
        <v>0</v>
      </c>
      <c r="I5" s="7">
        <f>Inputs!I$41</f>
        <v>0</v>
      </c>
      <c r="J5" s="7">
        <f>Inputs!J$41</f>
        <v>0</v>
      </c>
      <c r="K5" s="7">
        <f>Inputs!K$41</f>
        <v>0</v>
      </c>
      <c r="L5" s="7">
        <f>Inputs!L$41</f>
        <v>0</v>
      </c>
    </row>
    <row r="6" spans="1:12" x14ac:dyDescent="0.3">
      <c r="A6" s="5" t="s">
        <v>151</v>
      </c>
      <c r="C6" s="6">
        <f>Inputs!C45</f>
        <v>15</v>
      </c>
      <c r="D6" s="6">
        <f>Inputs!D45</f>
        <v>35</v>
      </c>
      <c r="E6" s="6">
        <f>Inputs!E45</f>
        <v>35</v>
      </c>
      <c r="F6" s="6">
        <f>Inputs!F45</f>
        <v>35</v>
      </c>
      <c r="G6" s="6">
        <f>Inputs!G45</f>
        <v>35</v>
      </c>
      <c r="H6" s="6">
        <f>Inputs!H45</f>
        <v>35</v>
      </c>
      <c r="I6" s="6">
        <f>Inputs!I45</f>
        <v>35</v>
      </c>
      <c r="J6" s="6">
        <f>Inputs!J45</f>
        <v>35</v>
      </c>
      <c r="K6" s="6">
        <f>Inputs!K45</f>
        <v>35</v>
      </c>
      <c r="L6" s="6">
        <f>Inputs!L45</f>
        <v>35</v>
      </c>
    </row>
    <row r="7" spans="1:12" x14ac:dyDescent="0.3">
      <c r="A7" s="5" t="s">
        <v>152</v>
      </c>
      <c r="C7" s="17">
        <f>Inputs!$B$22*(1+Inputs!$B$23)^(2026-2026)</f>
        <v>9.5</v>
      </c>
      <c r="D7" s="17">
        <f>Inputs!$B$22*(1+Inputs!$B$23)^(2027-2026)</f>
        <v>9.69</v>
      </c>
      <c r="E7" s="17">
        <f>Inputs!$B$22*(1+Inputs!$B$23)^(2028-2026)</f>
        <v>9.8838000000000008</v>
      </c>
      <c r="F7" s="17">
        <f>Inputs!$B$22*(1+Inputs!$B$23)^(2029-2026)</f>
        <v>10.081475999999999</v>
      </c>
      <c r="G7" s="17">
        <f>Inputs!$B$22*(1+Inputs!$B$23)^(2030-2026)</f>
        <v>10.283105519999999</v>
      </c>
      <c r="H7" s="17">
        <f>Inputs!$B$22*(1+Inputs!$B$23)^(2031-2026)</f>
        <v>10.4887676304</v>
      </c>
      <c r="I7" s="17">
        <f>Inputs!$B$22*(1+Inputs!$B$23)^(2032-2026)</f>
        <v>10.698542983008</v>
      </c>
      <c r="J7" s="17">
        <f>Inputs!$B$22*(1+Inputs!$B$23)^(2033-2026)</f>
        <v>10.912513842668158</v>
      </c>
      <c r="K7" s="17">
        <f>Inputs!$B$22*(1+Inputs!$B$23)^(2034-2026)</f>
        <v>11.130764119521523</v>
      </c>
      <c r="L7" s="17">
        <f>Inputs!$B$22*(1+Inputs!$B$23)^(2035-2026)</f>
        <v>11.353379401911953</v>
      </c>
    </row>
    <row r="8" spans="1:12" x14ac:dyDescent="0.3">
      <c r="A8" s="5" t="s">
        <v>153</v>
      </c>
      <c r="C8" s="17">
        <f t="shared" ref="C8:L8" si="0">C6*C7</f>
        <v>142.5</v>
      </c>
      <c r="D8" s="17">
        <f t="shared" si="0"/>
        <v>339.15</v>
      </c>
      <c r="E8" s="17">
        <f t="shared" si="0"/>
        <v>345.93300000000005</v>
      </c>
      <c r="F8" s="17">
        <f t="shared" si="0"/>
        <v>352.85165999999992</v>
      </c>
      <c r="G8" s="17">
        <f t="shared" si="0"/>
        <v>359.90869319999996</v>
      </c>
      <c r="H8" s="17">
        <f t="shared" si="0"/>
        <v>367.10686706399997</v>
      </c>
      <c r="I8" s="17">
        <f t="shared" si="0"/>
        <v>374.44900440527999</v>
      </c>
      <c r="J8" s="17">
        <f t="shared" si="0"/>
        <v>381.93798449338556</v>
      </c>
      <c r="K8" s="17">
        <f t="shared" si="0"/>
        <v>389.57674418325331</v>
      </c>
      <c r="L8" s="17">
        <f t="shared" si="0"/>
        <v>397.36827906691838</v>
      </c>
    </row>
    <row r="9" spans="1:12" x14ac:dyDescent="0.3">
      <c r="A9" s="5" t="s">
        <v>154</v>
      </c>
      <c r="C9" s="17">
        <f>0</f>
        <v>0</v>
      </c>
      <c r="D9" s="17">
        <f>C8*Inputs!$B$24</f>
        <v>28.5</v>
      </c>
      <c r="E9" s="17">
        <f>D8*Inputs!$B$24+C8*Inputs!$B$25</f>
        <v>146.20499999999998</v>
      </c>
      <c r="F9" s="17">
        <f>E8*Inputs!$B$24+D8*Inputs!$B$25+C8*Inputs!$B$26</f>
        <v>291.34410000000003</v>
      </c>
      <c r="G9" s="17">
        <f>F8*Inputs!$B$24+E8*Inputs!$B$25+D8*Inputs!$B$26</f>
        <v>345.62098200000003</v>
      </c>
      <c r="H9" s="17">
        <f>G8*Inputs!$B$24+F8*Inputs!$B$25+E8*Inputs!$B$26</f>
        <v>352.53340163999997</v>
      </c>
      <c r="I9" s="17">
        <f>H8*Inputs!$B$24+G8*Inputs!$B$25+F8*Inputs!$B$26</f>
        <v>359.58406967279996</v>
      </c>
      <c r="J9" s="17">
        <f>I8*Inputs!$B$24+H8*Inputs!$B$25+G8*Inputs!$B$26</f>
        <v>366.77575106625602</v>
      </c>
      <c r="K9" s="17">
        <f>J8*Inputs!$B$24+I8*Inputs!$B$25+H8*Inputs!$B$26</f>
        <v>374.1112660875811</v>
      </c>
      <c r="L9" s="17">
        <f>K8*Inputs!$B$24+J8*Inputs!$B$25+I8*Inputs!$B$26</f>
        <v>381.59349140933273</v>
      </c>
    </row>
    <row r="10" spans="1:12" x14ac:dyDescent="0.3">
      <c r="A10" s="5" t="s">
        <v>155</v>
      </c>
      <c r="C10" s="17">
        <f t="shared" ref="C10:L10" si="1">C5+C9</f>
        <v>644.70000000000005</v>
      </c>
      <c r="D10" s="17">
        <f t="shared" si="1"/>
        <v>683.5</v>
      </c>
      <c r="E10" s="17">
        <f t="shared" si="1"/>
        <v>749.20499999999993</v>
      </c>
      <c r="F10" s="17">
        <f t="shared" si="1"/>
        <v>512.64409999999998</v>
      </c>
      <c r="G10" s="17">
        <f t="shared" si="1"/>
        <v>419.42098200000004</v>
      </c>
      <c r="H10" s="17">
        <f t="shared" si="1"/>
        <v>352.53340163999997</v>
      </c>
      <c r="I10" s="17">
        <f t="shared" si="1"/>
        <v>359.58406967279996</v>
      </c>
      <c r="J10" s="17">
        <f t="shared" si="1"/>
        <v>366.77575106625602</v>
      </c>
      <c r="K10" s="17">
        <f t="shared" si="1"/>
        <v>374.1112660875811</v>
      </c>
      <c r="L10" s="17">
        <f t="shared" si="1"/>
        <v>381.59349140933273</v>
      </c>
    </row>
    <row r="11" spans="1:12" x14ac:dyDescent="0.3">
      <c r="A11" s="5" t="s">
        <v>156</v>
      </c>
      <c r="C11" s="7">
        <f>Inputs!$B$30</f>
        <v>70</v>
      </c>
      <c r="D11" s="17">
        <f>C11*(1+Inputs!$C$46)</f>
        <v>72.100000000000009</v>
      </c>
      <c r="E11" s="17">
        <f>D11*(1+Inputs!$C$46)</f>
        <v>74.263000000000005</v>
      </c>
      <c r="F11" s="17">
        <f>E11*(1+Inputs!$C$46)</f>
        <v>76.490890000000007</v>
      </c>
      <c r="G11" s="17">
        <f>F11*(1+Inputs!$C$46)</f>
        <v>78.785616700000006</v>
      </c>
      <c r="H11" s="17">
        <f>G11*(1+Inputs!$C$46)</f>
        <v>81.149185201000009</v>
      </c>
      <c r="I11" s="17">
        <f>H11*(1+Inputs!$C$46)</f>
        <v>83.583660757030017</v>
      </c>
      <c r="J11" s="17">
        <f>I11*(1+Inputs!$C$46)</f>
        <v>86.091170579740918</v>
      </c>
      <c r="K11" s="17">
        <f>J11*(1+Inputs!$C$46)</f>
        <v>88.673905697133151</v>
      </c>
      <c r="L11" s="17">
        <f>K11*(1+Inputs!$C$46)</f>
        <v>91.334122868047146</v>
      </c>
    </row>
    <row r="12" spans="1:12" x14ac:dyDescent="0.3">
      <c r="A12" s="5" t="s">
        <v>157</v>
      </c>
      <c r="C12" s="17">
        <f>Inputs!$B$32*(1+Inputs!$B$33)^(2026-2026)</f>
        <v>22</v>
      </c>
      <c r="D12" s="17">
        <f>Inputs!$B$32*(1+Inputs!$B$33)^(2027-2026)</f>
        <v>22.44</v>
      </c>
      <c r="E12" s="17">
        <f>Inputs!$B$32*(1+Inputs!$B$33)^(2028-2026)</f>
        <v>22.8888</v>
      </c>
      <c r="F12" s="17">
        <f>Inputs!$B$32*(1+Inputs!$B$33)^(2029-2026)</f>
        <v>23.346575999999999</v>
      </c>
      <c r="G12" s="17">
        <f>Inputs!$B$32*(1+Inputs!$B$33)^(2030-2026)</f>
        <v>23.813507519999998</v>
      </c>
      <c r="H12" s="17">
        <f>Inputs!$B$32*(1+Inputs!$B$33)^(2031-2026)</f>
        <v>24.289777670399999</v>
      </c>
      <c r="I12" s="17">
        <f>Inputs!$B$32*(1+Inputs!$B$33)^(2032-2026)</f>
        <v>24.775573223808003</v>
      </c>
      <c r="J12" s="17">
        <f>Inputs!$B$32*(1+Inputs!$B$33)^(2033-2026)</f>
        <v>25.271084688284155</v>
      </c>
      <c r="K12" s="17">
        <f>Inputs!$B$32*(1+Inputs!$B$33)^(2034-2026)</f>
        <v>25.776506382049842</v>
      </c>
      <c r="L12" s="17">
        <f>Inputs!$B$32*(1+Inputs!$B$33)^(2035-2026)</f>
        <v>26.292036509690838</v>
      </c>
    </row>
    <row r="13" spans="1:12" x14ac:dyDescent="0.3">
      <c r="A13" s="1" t="s">
        <v>158</v>
      </c>
      <c r="C13" s="23">
        <f t="shared" ref="C13:L13" si="2">C10+C11+C12</f>
        <v>736.7</v>
      </c>
      <c r="D13" s="23">
        <f t="shared" si="2"/>
        <v>778.04000000000008</v>
      </c>
      <c r="E13" s="23">
        <f t="shared" si="2"/>
        <v>846.35679999999991</v>
      </c>
      <c r="F13" s="23">
        <f t="shared" si="2"/>
        <v>612.48156600000004</v>
      </c>
      <c r="G13" s="23">
        <f t="shared" si="2"/>
        <v>522.02010622</v>
      </c>
      <c r="H13" s="23">
        <f t="shared" si="2"/>
        <v>457.97236451139997</v>
      </c>
      <c r="I13" s="23">
        <f t="shared" si="2"/>
        <v>467.943303653638</v>
      </c>
      <c r="J13" s="23">
        <f t="shared" si="2"/>
        <v>478.1380063342811</v>
      </c>
      <c r="K13" s="23">
        <f t="shared" si="2"/>
        <v>488.56167816676407</v>
      </c>
      <c r="L13" s="23">
        <f t="shared" si="2"/>
        <v>499.21965078707069</v>
      </c>
    </row>
    <row r="14" spans="1:12" x14ac:dyDescent="0.3">
      <c r="A14" s="5" t="s">
        <v>159</v>
      </c>
      <c r="C14" s="17">
        <f>-Inputs!$B$28*(1+Inputs!$B$29)^(2026-2026)</f>
        <v>-193</v>
      </c>
      <c r="D14" s="17">
        <f>-Inputs!$B$28*(1+Inputs!$B$29)^(2027-2026)</f>
        <v>-198.79</v>
      </c>
      <c r="E14" s="17">
        <f>-Inputs!$B$28*(1+Inputs!$B$29)^(2028-2026)</f>
        <v>-204.75369999999998</v>
      </c>
      <c r="F14" s="17">
        <f>-Inputs!$B$28*(1+Inputs!$B$29)^(2029-2026)</f>
        <v>-210.896311</v>
      </c>
      <c r="G14" s="17">
        <f>-Inputs!$B$28*(1+Inputs!$B$29)^(2030-2026)</f>
        <v>-217.22320033</v>
      </c>
      <c r="H14" s="17">
        <f>-Inputs!$B$28*(1+Inputs!$B$29)^(2031-2026)</f>
        <v>-223.73989633989996</v>
      </c>
      <c r="I14" s="17">
        <f>-Inputs!$B$28*(1+Inputs!$B$29)^(2032-2026)</f>
        <v>-230.45209323009698</v>
      </c>
      <c r="J14" s="17">
        <f>-Inputs!$B$28*(1+Inputs!$B$29)^(2033-2026)</f>
        <v>-237.36565602699991</v>
      </c>
      <c r="K14" s="17">
        <f>-Inputs!$B$28*(1+Inputs!$B$29)^(2034-2026)</f>
        <v>-244.48662570780988</v>
      </c>
      <c r="L14" s="17">
        <f>-Inputs!$B$28*(1+Inputs!$B$29)^(2035-2026)</f>
        <v>-251.82122447904419</v>
      </c>
    </row>
    <row r="15" spans="1:12" x14ac:dyDescent="0.3">
      <c r="A15" s="5" t="s">
        <v>160</v>
      </c>
      <c r="C15" s="17">
        <f>-C11*(1-Inputs!$B$31)</f>
        <v>-57.400000000000006</v>
      </c>
      <c r="D15" s="17">
        <f>-D11*(1-Inputs!$B$31)</f>
        <v>-59.122000000000014</v>
      </c>
      <c r="E15" s="17">
        <f>-E11*(1-Inputs!$B$31)</f>
        <v>-60.895660000000007</v>
      </c>
      <c r="F15" s="17">
        <f>-F11*(1-Inputs!$B$31)</f>
        <v>-62.722529800000011</v>
      </c>
      <c r="G15" s="17">
        <f>-G11*(1-Inputs!$B$31)</f>
        <v>-64.604205694000015</v>
      </c>
      <c r="H15" s="17">
        <f>-H11*(1-Inputs!$B$31)</f>
        <v>-66.542331864820014</v>
      </c>
      <c r="I15" s="17">
        <f>-I11*(1-Inputs!$B$31)</f>
        <v>-68.538601820764626</v>
      </c>
      <c r="J15" s="17">
        <f>-J11*(1-Inputs!$B$31)</f>
        <v>-70.594759875387552</v>
      </c>
      <c r="K15" s="17">
        <f>-K11*(1-Inputs!$B$31)</f>
        <v>-72.712602671649194</v>
      </c>
      <c r="L15" s="17">
        <f>-L11*(1-Inputs!$B$31)</f>
        <v>-74.893980751798665</v>
      </c>
    </row>
    <row r="16" spans="1:12" x14ac:dyDescent="0.3">
      <c r="A16" s="1" t="s">
        <v>132</v>
      </c>
      <c r="C16" s="23">
        <f t="shared" ref="C16:L16" si="3">C13+C14+C15</f>
        <v>486.30000000000007</v>
      </c>
      <c r="D16" s="23">
        <f t="shared" si="3"/>
        <v>520.12800000000016</v>
      </c>
      <c r="E16" s="23">
        <f t="shared" si="3"/>
        <v>580.70743999999991</v>
      </c>
      <c r="F16" s="23">
        <f t="shared" si="3"/>
        <v>338.86272520000006</v>
      </c>
      <c r="G16" s="23">
        <f t="shared" si="3"/>
        <v>240.19270019599998</v>
      </c>
      <c r="H16" s="23">
        <f t="shared" si="3"/>
        <v>167.69013630668002</v>
      </c>
      <c r="I16" s="23">
        <f t="shared" si="3"/>
        <v>168.95260860277639</v>
      </c>
      <c r="J16" s="23">
        <f t="shared" si="3"/>
        <v>170.17759043189363</v>
      </c>
      <c r="K16" s="23">
        <f t="shared" si="3"/>
        <v>171.362449787305</v>
      </c>
      <c r="L16" s="23">
        <f t="shared" si="3"/>
        <v>172.50444555622784</v>
      </c>
    </row>
    <row r="17" spans="1:12" x14ac:dyDescent="0.3">
      <c r="A17" s="5" t="s">
        <v>137</v>
      </c>
      <c r="C17" s="11">
        <f t="shared" ref="C17:L17" si="4">C16/C13</f>
        <v>0.66010587756210126</v>
      </c>
      <c r="D17" s="11">
        <f t="shared" si="4"/>
        <v>0.66851061642074971</v>
      </c>
      <c r="E17" s="11">
        <f t="shared" si="4"/>
        <v>0.68612604045953196</v>
      </c>
      <c r="F17" s="11">
        <f t="shared" si="4"/>
        <v>0.55326191678395764</v>
      </c>
      <c r="G17" s="11">
        <f t="shared" si="4"/>
        <v>0.46012154959941953</v>
      </c>
      <c r="H17" s="11">
        <f t="shared" si="4"/>
        <v>0.36615776256627341</v>
      </c>
      <c r="I17" s="11">
        <f t="shared" si="4"/>
        <v>0.36105358765392576</v>
      </c>
      <c r="J17" s="11">
        <f t="shared" si="4"/>
        <v>0.35591730458029558</v>
      </c>
      <c r="K17" s="11">
        <f t="shared" si="4"/>
        <v>0.35074885617371876</v>
      </c>
      <c r="L17" s="11">
        <f t="shared" si="4"/>
        <v>0.34554818762494022</v>
      </c>
    </row>
    <row r="18" spans="1:12" x14ac:dyDescent="0.3">
      <c r="A18" s="5" t="s">
        <v>161</v>
      </c>
      <c r="C18" s="7">
        <f>-Inputs!$B$34</f>
        <v>-30</v>
      </c>
      <c r="D18" s="7">
        <f>-Inputs!$B$34</f>
        <v>-30</v>
      </c>
      <c r="E18" s="7">
        <f>-Inputs!$B$34</f>
        <v>-30</v>
      </c>
      <c r="F18" s="7">
        <f>-Inputs!$B$34</f>
        <v>-30</v>
      </c>
      <c r="G18" s="7">
        <f>-Inputs!$B$34</f>
        <v>-30</v>
      </c>
      <c r="H18" s="7">
        <f>-Inputs!$B$34</f>
        <v>-30</v>
      </c>
      <c r="I18" s="7">
        <f>-Inputs!$B$34</f>
        <v>-30</v>
      </c>
      <c r="J18" s="7">
        <f>-Inputs!$B$34</f>
        <v>-30</v>
      </c>
      <c r="K18" s="7">
        <f>-Inputs!$B$34</f>
        <v>-30</v>
      </c>
      <c r="L18" s="7">
        <f>-Inputs!$B$34</f>
        <v>-30</v>
      </c>
    </row>
    <row r="19" spans="1:12" x14ac:dyDescent="0.3">
      <c r="A19" s="5" t="s">
        <v>162</v>
      </c>
      <c r="C19" s="17">
        <f t="shared" ref="C19:L19" si="5">C16+C18</f>
        <v>456.30000000000007</v>
      </c>
      <c r="D19" s="17">
        <f t="shared" si="5"/>
        <v>490.12800000000016</v>
      </c>
      <c r="E19" s="17">
        <f t="shared" si="5"/>
        <v>550.70743999999991</v>
      </c>
      <c r="F19" s="17">
        <f t="shared" si="5"/>
        <v>308.86272520000006</v>
      </c>
      <c r="G19" s="17">
        <f t="shared" si="5"/>
        <v>210.19270019599998</v>
      </c>
      <c r="H19" s="17">
        <f t="shared" si="5"/>
        <v>137.69013630668002</v>
      </c>
      <c r="I19" s="17">
        <f t="shared" si="5"/>
        <v>138.95260860277639</v>
      </c>
      <c r="J19" s="17">
        <f t="shared" si="5"/>
        <v>140.17759043189363</v>
      </c>
      <c r="K19" s="17">
        <f t="shared" si="5"/>
        <v>141.362449787305</v>
      </c>
      <c r="L19" s="17">
        <f t="shared" si="5"/>
        <v>142.50444555622784</v>
      </c>
    </row>
    <row r="20" spans="1:12" x14ac:dyDescent="0.3">
      <c r="A20" s="5" t="s">
        <v>163</v>
      </c>
      <c r="C20" s="17">
        <f>-C19*Inputs!$B$17</f>
        <v>-73.00800000000001</v>
      </c>
      <c r="D20" s="17">
        <f>-D19*Inputs!$B$17</f>
        <v>-78.420480000000026</v>
      </c>
      <c r="E20" s="17">
        <f>-E19*Inputs!$B$17</f>
        <v>-88.113190399999993</v>
      </c>
      <c r="F20" s="17">
        <f>-F19*Inputs!$B$17</f>
        <v>-49.41803603200001</v>
      </c>
      <c r="G20" s="17">
        <f>-G19*Inputs!$B$17</f>
        <v>-33.630832031359994</v>
      </c>
      <c r="H20" s="17">
        <f>-H19*Inputs!$B$17</f>
        <v>-22.030421809068802</v>
      </c>
      <c r="I20" s="17">
        <f>-I19*Inputs!$B$17</f>
        <v>-22.232417376444225</v>
      </c>
      <c r="J20" s="17">
        <f>-J19*Inputs!$B$17</f>
        <v>-22.428414469102982</v>
      </c>
      <c r="K20" s="17">
        <f>-K19*Inputs!$B$17</f>
        <v>-22.617991965968798</v>
      </c>
      <c r="L20" s="17">
        <f>-L19*Inputs!$B$17</f>
        <v>-22.800711288996453</v>
      </c>
    </row>
    <row r="21" spans="1:12" x14ac:dyDescent="0.3">
      <c r="A21" s="5" t="s">
        <v>164</v>
      </c>
      <c r="C21" s="17">
        <f t="shared" ref="C21:L21" si="6">C19+C20</f>
        <v>383.29200000000003</v>
      </c>
      <c r="D21" s="17">
        <f t="shared" si="6"/>
        <v>411.70752000000016</v>
      </c>
      <c r="E21" s="17">
        <f t="shared" si="6"/>
        <v>462.5942495999999</v>
      </c>
      <c r="F21" s="17">
        <f t="shared" si="6"/>
        <v>259.44468916800002</v>
      </c>
      <c r="G21" s="17">
        <f t="shared" si="6"/>
        <v>176.56186816463998</v>
      </c>
      <c r="H21" s="17">
        <f t="shared" si="6"/>
        <v>115.65971449761122</v>
      </c>
      <c r="I21" s="17">
        <f t="shared" si="6"/>
        <v>116.72019122633216</v>
      </c>
      <c r="J21" s="17">
        <f t="shared" si="6"/>
        <v>117.74917596279064</v>
      </c>
      <c r="K21" s="17">
        <f t="shared" si="6"/>
        <v>118.7444578213362</v>
      </c>
      <c r="L21" s="17">
        <f t="shared" si="6"/>
        <v>119.70373426723138</v>
      </c>
    </row>
    <row r="22" spans="1:12" x14ac:dyDescent="0.3">
      <c r="A22" s="5" t="s">
        <v>165</v>
      </c>
      <c r="C22" s="7">
        <f>-Inputs!$B$35</f>
        <v>-30</v>
      </c>
      <c r="D22" s="7">
        <f>-Inputs!$B$35</f>
        <v>-30</v>
      </c>
      <c r="E22" s="7">
        <f>-Inputs!$B$35</f>
        <v>-30</v>
      </c>
      <c r="F22" s="7">
        <f>-Inputs!$B$35</f>
        <v>-30</v>
      </c>
      <c r="G22" s="7">
        <f>-Inputs!$B$35</f>
        <v>-30</v>
      </c>
      <c r="H22" s="7">
        <f>-Inputs!$B$35</f>
        <v>-30</v>
      </c>
      <c r="I22" s="7">
        <f>-Inputs!$B$35</f>
        <v>-30</v>
      </c>
      <c r="J22" s="7">
        <f>-Inputs!$B$35</f>
        <v>-30</v>
      </c>
      <c r="K22" s="7">
        <f>-Inputs!$B$35</f>
        <v>-30</v>
      </c>
      <c r="L22" s="7">
        <f>-Inputs!$B$35</f>
        <v>-30</v>
      </c>
    </row>
    <row r="23" spans="1:12" x14ac:dyDescent="0.3">
      <c r="A23" s="5" t="s">
        <v>166</v>
      </c>
      <c r="C23" s="17">
        <f>0</f>
        <v>0</v>
      </c>
      <c r="D23" s="17">
        <f>-Inputs!$B$36*(D13-C13)</f>
        <v>-4.134000000000003</v>
      </c>
      <c r="E23" s="17">
        <f>-Inputs!$B$36*(E13-D13)</f>
        <v>-6.8316799999999835</v>
      </c>
      <c r="F23" s="17">
        <f>-Inputs!$B$36*(F13-E13)</f>
        <v>23.387523399999989</v>
      </c>
      <c r="G23" s="17">
        <f>-Inputs!$B$36*(G13-F13)</f>
        <v>9.0461459780000038</v>
      </c>
      <c r="H23" s="17">
        <f>-Inputs!$B$36*(H13-G13)</f>
        <v>6.4047741708600032</v>
      </c>
      <c r="I23" s="17">
        <f>-Inputs!$B$36*(I13-H13)</f>
        <v>-0.99709391422380245</v>
      </c>
      <c r="J23" s="17">
        <f>-Inputs!$B$36*(J13-I13)</f>
        <v>-1.0194702680643104</v>
      </c>
      <c r="K23" s="17">
        <f>-Inputs!$B$36*(K13-J13)</f>
        <v>-1.0423671832482968</v>
      </c>
      <c r="L23" s="17">
        <f>-Inputs!$B$36*(L13-K13)</f>
        <v>-1.0657972620306624</v>
      </c>
    </row>
    <row r="24" spans="1:12" x14ac:dyDescent="0.3">
      <c r="A24" s="1" t="s">
        <v>167</v>
      </c>
      <c r="C24" s="23">
        <f t="shared" ref="C24:L24" si="7">C21-C18+C22+C23</f>
        <v>383.29200000000003</v>
      </c>
      <c r="D24" s="23">
        <f t="shared" si="7"/>
        <v>407.57352000000014</v>
      </c>
      <c r="E24" s="23">
        <f t="shared" si="7"/>
        <v>455.76256959999989</v>
      </c>
      <c r="F24" s="23">
        <f t="shared" si="7"/>
        <v>282.83221256799999</v>
      </c>
      <c r="G24" s="23">
        <f t="shared" si="7"/>
        <v>185.60801414263997</v>
      </c>
      <c r="H24" s="23">
        <f t="shared" si="7"/>
        <v>122.06448866847123</v>
      </c>
      <c r="I24" s="23">
        <f t="shared" si="7"/>
        <v>115.72309731210837</v>
      </c>
      <c r="J24" s="23">
        <f t="shared" si="7"/>
        <v>116.72970569472633</v>
      </c>
      <c r="K24" s="23">
        <f t="shared" si="7"/>
        <v>117.7020906380879</v>
      </c>
      <c r="L24" s="23">
        <f t="shared" si="7"/>
        <v>118.63793700520071</v>
      </c>
    </row>
    <row r="25" spans="1:12" x14ac:dyDescent="0.3">
      <c r="A25" s="5" t="s">
        <v>168</v>
      </c>
      <c r="D25" s="21">
        <v>1</v>
      </c>
      <c r="E25" s="21">
        <v>2</v>
      </c>
      <c r="F25" s="21">
        <v>3</v>
      </c>
      <c r="G25" s="21">
        <v>4</v>
      </c>
      <c r="H25" s="21">
        <v>5</v>
      </c>
      <c r="I25" s="21">
        <v>6</v>
      </c>
      <c r="J25" s="21">
        <v>7</v>
      </c>
      <c r="K25" s="21">
        <v>8</v>
      </c>
      <c r="L25" s="21">
        <v>9</v>
      </c>
    </row>
    <row r="26" spans="1:12" x14ac:dyDescent="0.3">
      <c r="A26" s="5" t="s">
        <v>169</v>
      </c>
      <c r="D26" s="24">
        <f>1/(1+Inputs!$B$19)^D25</f>
        <v>0.91217508892982213</v>
      </c>
      <c r="E26" s="24">
        <f>1/(1+Inputs!$B$19)^E25</f>
        <v>0.83206339286412889</v>
      </c>
      <c r="F26" s="24">
        <f>1/(1+Inputs!$B$19)^F25</f>
        <v>0.75898749938108623</v>
      </c>
      <c r="G26" s="24">
        <f>1/(1+Inputs!$B$19)^G25</f>
        <v>0.69232948974456576</v>
      </c>
      <c r="H26" s="24">
        <f>1/(1+Inputs!$B$19)^H25</f>
        <v>0.63152571387648759</v>
      </c>
      <c r="I26" s="24">
        <f>1/(1+Inputs!$B$19)^I25</f>
        <v>0.57606202421675456</v>
      </c>
      <c r="J26" s="24">
        <f>1/(1+Inputs!$B$19)^J25</f>
        <v>0.52546942816901132</v>
      </c>
      <c r="K26" s="24">
        <f>1/(1+Inputs!$B$19)^K25</f>
        <v>0.47932012236997068</v>
      </c>
      <c r="L26" s="24">
        <f>1/(1+Inputs!$B$19)^L25</f>
        <v>0.43722387524868123</v>
      </c>
    </row>
    <row r="27" spans="1:12" x14ac:dyDescent="0.3">
      <c r="A27" s="5" t="s">
        <v>170</v>
      </c>
      <c r="D27" s="17">
        <f t="shared" ref="D27:L27" si="8">D24*D26</f>
        <v>371.77841185144075</v>
      </c>
      <c r="E27" s="17">
        <f t="shared" si="8"/>
        <v>379.22335000184961</v>
      </c>
      <c r="F27" s="17">
        <f t="shared" si="8"/>
        <v>214.66611376140614</v>
      </c>
      <c r="G27" s="17">
        <f t="shared" si="8"/>
        <v>128.50190172387607</v>
      </c>
      <c r="H27" s="17">
        <f t="shared" si="8"/>
        <v>77.086863345324716</v>
      </c>
      <c r="I27" s="17">
        <f t="shared" si="8"/>
        <v>66.66368168624561</v>
      </c>
      <c r="J27" s="17">
        <f t="shared" si="8"/>
        <v>61.33789170174483</v>
      </c>
      <c r="K27" s="17">
        <f t="shared" si="8"/>
        <v>56.416980487849671</v>
      </c>
      <c r="L27" s="17">
        <f t="shared" si="8"/>
        <v>51.871338568922781</v>
      </c>
    </row>
    <row r="29" spans="1:12" x14ac:dyDescent="0.3">
      <c r="A29" s="5" t="s">
        <v>171</v>
      </c>
      <c r="C29" s="8">
        <f>Inputs!C47</f>
        <v>0</v>
      </c>
    </row>
    <row r="30" spans="1:12" x14ac:dyDescent="0.3">
      <c r="A30" s="5" t="s">
        <v>172</v>
      </c>
      <c r="C30" s="17">
        <f>L24*(1+C29)/(Inputs!$B$19-C29)</f>
        <v>1232.2081448132155</v>
      </c>
    </row>
    <row r="31" spans="1:12" x14ac:dyDescent="0.3">
      <c r="A31" s="5" t="s">
        <v>173</v>
      </c>
      <c r="C31" s="17">
        <f>C30*L26</f>
        <v>538.75082018822229</v>
      </c>
    </row>
    <row r="32" spans="1:12" x14ac:dyDescent="0.3">
      <c r="A32" s="5" t="s">
        <v>174</v>
      </c>
      <c r="C32" s="17">
        <f>SUM(D27:L27)</f>
        <v>1407.5465331286603</v>
      </c>
    </row>
    <row r="33" spans="1:12" x14ac:dyDescent="0.3">
      <c r="A33" s="1" t="s">
        <v>11</v>
      </c>
      <c r="C33" s="23">
        <f>C31+C32</f>
        <v>1946.2973533168824</v>
      </c>
    </row>
    <row r="34" spans="1:12" x14ac:dyDescent="0.3">
      <c r="A34" s="5" t="s">
        <v>175</v>
      </c>
      <c r="C34" s="7">
        <f>Inputs!$B$9</f>
        <v>294.7</v>
      </c>
    </row>
    <row r="35" spans="1:12" x14ac:dyDescent="0.3">
      <c r="A35" s="5" t="s">
        <v>176</v>
      </c>
      <c r="C35" s="17">
        <f>C24*Inputs!$B$37</f>
        <v>191.64600000000002</v>
      </c>
    </row>
    <row r="36" spans="1:12" x14ac:dyDescent="0.3">
      <c r="A36" s="1" t="s">
        <v>177</v>
      </c>
      <c r="C36" s="23">
        <f>SUM(C33:C35)</f>
        <v>2432.6433533168824</v>
      </c>
    </row>
    <row r="37" spans="1:12" x14ac:dyDescent="0.3">
      <c r="A37" s="1" t="s">
        <v>12</v>
      </c>
      <c r="C37" s="10">
        <f>C36/Inputs!$B$6</f>
        <v>65.628277263249856</v>
      </c>
    </row>
    <row r="38" spans="1:12" x14ac:dyDescent="0.3">
      <c r="A38" s="5" t="s">
        <v>178</v>
      </c>
      <c r="C38" s="11">
        <f>C37/Inputs!$B$5-1</f>
        <v>-0.68984746094872462</v>
      </c>
    </row>
    <row r="39" spans="1:12" x14ac:dyDescent="0.3">
      <c r="A39" s="5" t="s">
        <v>14</v>
      </c>
      <c r="C39" s="11">
        <f>C31/C33</f>
        <v>0.27680807317036243</v>
      </c>
    </row>
    <row r="40" spans="1:12" x14ac:dyDescent="0.3">
      <c r="A40" s="5" t="s">
        <v>179</v>
      </c>
      <c r="C40" s="25">
        <f>Inputs!$B$18/D21</f>
        <v>19.050847553136744</v>
      </c>
    </row>
    <row r="41" spans="1:12" x14ac:dyDescent="0.3">
      <c r="A41" s="5" t="s">
        <v>180</v>
      </c>
      <c r="C41" s="26">
        <f>AVERAGE(D6:L6)</f>
        <v>35</v>
      </c>
    </row>
    <row r="44" spans="1:12" x14ac:dyDescent="0.3">
      <c r="A44" s="1" t="s">
        <v>102</v>
      </c>
    </row>
    <row r="45" spans="1:12" x14ac:dyDescent="0.3">
      <c r="A45" s="3" t="s">
        <v>123</v>
      </c>
      <c r="B45" s="4"/>
      <c r="C45" s="4" t="s">
        <v>84</v>
      </c>
      <c r="D45" s="4" t="s">
        <v>85</v>
      </c>
      <c r="E45" s="4" t="s">
        <v>86</v>
      </c>
      <c r="F45" s="4" t="s">
        <v>87</v>
      </c>
      <c r="G45" s="4" t="s">
        <v>88</v>
      </c>
      <c r="H45" s="4" t="s">
        <v>89</v>
      </c>
      <c r="I45" s="4" t="s">
        <v>90</v>
      </c>
      <c r="J45" s="4" t="s">
        <v>91</v>
      </c>
      <c r="K45" s="4" t="s">
        <v>92</v>
      </c>
      <c r="L45" s="4" t="s">
        <v>93</v>
      </c>
    </row>
    <row r="46" spans="1:12" x14ac:dyDescent="0.3">
      <c r="A46" s="5" t="s">
        <v>150</v>
      </c>
      <c r="C46" s="7">
        <f>Inputs!C$41</f>
        <v>644.70000000000005</v>
      </c>
      <c r="D46" s="7">
        <f>Inputs!D$41</f>
        <v>655</v>
      </c>
      <c r="E46" s="7">
        <f>Inputs!E$41</f>
        <v>603</v>
      </c>
      <c r="F46" s="7">
        <f>Inputs!F$41</f>
        <v>221.3</v>
      </c>
      <c r="G46" s="7">
        <f>Inputs!G$41</f>
        <v>73.8</v>
      </c>
      <c r="H46" s="7">
        <f>Inputs!H$41</f>
        <v>0</v>
      </c>
      <c r="I46" s="7">
        <f>Inputs!I$41</f>
        <v>0</v>
      </c>
      <c r="J46" s="7">
        <f>Inputs!J$41</f>
        <v>0</v>
      </c>
      <c r="K46" s="7">
        <f>Inputs!K$41</f>
        <v>0</v>
      </c>
      <c r="L46" s="7">
        <f>Inputs!L$41</f>
        <v>0</v>
      </c>
    </row>
    <row r="47" spans="1:12" x14ac:dyDescent="0.3">
      <c r="A47" s="5" t="s">
        <v>151</v>
      </c>
      <c r="C47" s="6">
        <f>Inputs!C50</f>
        <v>30</v>
      </c>
      <c r="D47" s="6">
        <f>Inputs!D50</f>
        <v>60</v>
      </c>
      <c r="E47" s="6">
        <f>Inputs!E50</f>
        <v>60</v>
      </c>
      <c r="F47" s="6">
        <f>Inputs!F50</f>
        <v>60</v>
      </c>
      <c r="G47" s="6">
        <f>Inputs!G50</f>
        <v>60</v>
      </c>
      <c r="H47" s="6">
        <f>Inputs!H50</f>
        <v>60</v>
      </c>
      <c r="I47" s="6">
        <f>Inputs!I50</f>
        <v>60</v>
      </c>
      <c r="J47" s="6">
        <f>Inputs!J50</f>
        <v>60</v>
      </c>
      <c r="K47" s="6">
        <f>Inputs!K50</f>
        <v>60</v>
      </c>
      <c r="L47" s="6">
        <f>Inputs!L50</f>
        <v>60</v>
      </c>
    </row>
    <row r="48" spans="1:12" x14ac:dyDescent="0.3">
      <c r="A48" s="5" t="s">
        <v>152</v>
      </c>
      <c r="C48" s="17">
        <f>Inputs!$B$22*(1+Inputs!$B$23)^(2026-2026)</f>
        <v>9.5</v>
      </c>
      <c r="D48" s="17">
        <f>Inputs!$B$22*(1+Inputs!$B$23)^(2027-2026)</f>
        <v>9.69</v>
      </c>
      <c r="E48" s="17">
        <f>Inputs!$B$22*(1+Inputs!$B$23)^(2028-2026)</f>
        <v>9.8838000000000008</v>
      </c>
      <c r="F48" s="17">
        <f>Inputs!$B$22*(1+Inputs!$B$23)^(2029-2026)</f>
        <v>10.081475999999999</v>
      </c>
      <c r="G48" s="17">
        <f>Inputs!$B$22*(1+Inputs!$B$23)^(2030-2026)</f>
        <v>10.283105519999999</v>
      </c>
      <c r="H48" s="17">
        <f>Inputs!$B$22*(1+Inputs!$B$23)^(2031-2026)</f>
        <v>10.4887676304</v>
      </c>
      <c r="I48" s="17">
        <f>Inputs!$B$22*(1+Inputs!$B$23)^(2032-2026)</f>
        <v>10.698542983008</v>
      </c>
      <c r="J48" s="17">
        <f>Inputs!$B$22*(1+Inputs!$B$23)^(2033-2026)</f>
        <v>10.912513842668158</v>
      </c>
      <c r="K48" s="17">
        <f>Inputs!$B$22*(1+Inputs!$B$23)^(2034-2026)</f>
        <v>11.130764119521523</v>
      </c>
      <c r="L48" s="17">
        <f>Inputs!$B$22*(1+Inputs!$B$23)^(2035-2026)</f>
        <v>11.353379401911953</v>
      </c>
    </row>
    <row r="49" spans="1:12" x14ac:dyDescent="0.3">
      <c r="A49" s="5" t="s">
        <v>153</v>
      </c>
      <c r="C49" s="17">
        <f t="shared" ref="C49:L49" si="9">C47*C48</f>
        <v>285</v>
      </c>
      <c r="D49" s="17">
        <f t="shared" si="9"/>
        <v>581.4</v>
      </c>
      <c r="E49" s="17">
        <f t="shared" si="9"/>
        <v>593.02800000000002</v>
      </c>
      <c r="F49" s="17">
        <f t="shared" si="9"/>
        <v>604.88855999999987</v>
      </c>
      <c r="G49" s="17">
        <f t="shared" si="9"/>
        <v>616.9863312</v>
      </c>
      <c r="H49" s="17">
        <f t="shared" si="9"/>
        <v>629.32605782400003</v>
      </c>
      <c r="I49" s="17">
        <f t="shared" si="9"/>
        <v>641.91257898048002</v>
      </c>
      <c r="J49" s="17">
        <f t="shared" si="9"/>
        <v>654.75083056008953</v>
      </c>
      <c r="K49" s="17">
        <f t="shared" si="9"/>
        <v>667.84584717129133</v>
      </c>
      <c r="L49" s="17">
        <f t="shared" si="9"/>
        <v>681.20276411471718</v>
      </c>
    </row>
    <row r="50" spans="1:12" x14ac:dyDescent="0.3">
      <c r="A50" s="5" t="s">
        <v>154</v>
      </c>
      <c r="C50" s="17">
        <f>0</f>
        <v>0</v>
      </c>
      <c r="D50" s="17">
        <f>C49*Inputs!$B$24</f>
        <v>57</v>
      </c>
      <c r="E50" s="17">
        <f>D49*Inputs!$B$24+C49*Inputs!$B$25</f>
        <v>273.02999999999997</v>
      </c>
      <c r="F50" s="17">
        <f>E49*Inputs!$B$24+D49*Inputs!$B$25+C49*Inputs!$B$26</f>
        <v>509.62560000000008</v>
      </c>
      <c r="G50" s="17">
        <f>F49*Inputs!$B$24+E49*Inputs!$B$25+D49*Inputs!$B$26</f>
        <v>592.493112</v>
      </c>
      <c r="H50" s="17">
        <f>G49*Inputs!$B$24+F49*Inputs!$B$25+E49*Inputs!$B$26</f>
        <v>604.34297423999999</v>
      </c>
      <c r="I50" s="17">
        <f>H49*Inputs!$B$24+G49*Inputs!$B$25+F49*Inputs!$B$26</f>
        <v>616.42983372480001</v>
      </c>
      <c r="J50" s="17">
        <f>I49*Inputs!$B$24+H49*Inputs!$B$25+G49*Inputs!$B$26</f>
        <v>628.758430399296</v>
      </c>
      <c r="K50" s="17">
        <f>J49*Inputs!$B$24+I49*Inputs!$B$25+H49*Inputs!$B$26</f>
        <v>641.33359900728203</v>
      </c>
      <c r="L50" s="17">
        <f>K49*Inputs!$B$24+J49*Inputs!$B$25+I49*Inputs!$B$26</f>
        <v>654.16027098742757</v>
      </c>
    </row>
    <row r="51" spans="1:12" x14ac:dyDescent="0.3">
      <c r="A51" s="5" t="s">
        <v>155</v>
      </c>
      <c r="C51" s="17">
        <f t="shared" ref="C51:L51" si="10">C46+C50</f>
        <v>644.70000000000005</v>
      </c>
      <c r="D51" s="17">
        <f t="shared" si="10"/>
        <v>712</v>
      </c>
      <c r="E51" s="17">
        <f t="shared" si="10"/>
        <v>876.03</v>
      </c>
      <c r="F51" s="17">
        <f t="shared" si="10"/>
        <v>730.92560000000003</v>
      </c>
      <c r="G51" s="17">
        <f t="shared" si="10"/>
        <v>666.29311199999995</v>
      </c>
      <c r="H51" s="17">
        <f t="shared" si="10"/>
        <v>604.34297423999999</v>
      </c>
      <c r="I51" s="17">
        <f t="shared" si="10"/>
        <v>616.42983372480001</v>
      </c>
      <c r="J51" s="17">
        <f t="shared" si="10"/>
        <v>628.758430399296</v>
      </c>
      <c r="K51" s="17">
        <f t="shared" si="10"/>
        <v>641.33359900728203</v>
      </c>
      <c r="L51" s="17">
        <f t="shared" si="10"/>
        <v>654.16027098742757</v>
      </c>
    </row>
    <row r="52" spans="1:12" x14ac:dyDescent="0.3">
      <c r="A52" s="5" t="s">
        <v>156</v>
      </c>
      <c r="C52" s="7">
        <f>Inputs!$B$30</f>
        <v>70</v>
      </c>
      <c r="D52" s="17">
        <f>C52*(1+Inputs!$C$51)</f>
        <v>75.600000000000009</v>
      </c>
      <c r="E52" s="17">
        <f>D52*(1+Inputs!$C$51)</f>
        <v>81.64800000000001</v>
      </c>
      <c r="F52" s="17">
        <f>E52*(1+Inputs!$C$51)</f>
        <v>88.179840000000013</v>
      </c>
      <c r="G52" s="17">
        <f>F52*(1+Inputs!$C$51)</f>
        <v>95.234227200000021</v>
      </c>
      <c r="H52" s="17">
        <f>G52*(1+Inputs!$C$51)</f>
        <v>102.85296537600003</v>
      </c>
      <c r="I52" s="17">
        <f>H52*(1+Inputs!$C$51)</f>
        <v>111.08120260608004</v>
      </c>
      <c r="J52" s="17">
        <f>I52*(1+Inputs!$C$51)</f>
        <v>119.96769881456645</v>
      </c>
      <c r="K52" s="17">
        <f>J52*(1+Inputs!$C$51)</f>
        <v>129.56511471973178</v>
      </c>
      <c r="L52" s="17">
        <f>K52*(1+Inputs!$C$51)</f>
        <v>139.93032389731033</v>
      </c>
    </row>
    <row r="53" spans="1:12" x14ac:dyDescent="0.3">
      <c r="A53" s="5" t="s">
        <v>157</v>
      </c>
      <c r="C53" s="17">
        <f>Inputs!$B$32*(1+Inputs!$B$33)^(2026-2026)</f>
        <v>22</v>
      </c>
      <c r="D53" s="17">
        <f>Inputs!$B$32*(1+Inputs!$B$33)^(2027-2026)</f>
        <v>22.44</v>
      </c>
      <c r="E53" s="17">
        <f>Inputs!$B$32*(1+Inputs!$B$33)^(2028-2026)</f>
        <v>22.8888</v>
      </c>
      <c r="F53" s="17">
        <f>Inputs!$B$32*(1+Inputs!$B$33)^(2029-2026)</f>
        <v>23.346575999999999</v>
      </c>
      <c r="G53" s="17">
        <f>Inputs!$B$32*(1+Inputs!$B$33)^(2030-2026)</f>
        <v>23.813507519999998</v>
      </c>
      <c r="H53" s="17">
        <f>Inputs!$B$32*(1+Inputs!$B$33)^(2031-2026)</f>
        <v>24.289777670399999</v>
      </c>
      <c r="I53" s="17">
        <f>Inputs!$B$32*(1+Inputs!$B$33)^(2032-2026)</f>
        <v>24.775573223808003</v>
      </c>
      <c r="J53" s="17">
        <f>Inputs!$B$32*(1+Inputs!$B$33)^(2033-2026)</f>
        <v>25.271084688284155</v>
      </c>
      <c r="K53" s="17">
        <f>Inputs!$B$32*(1+Inputs!$B$33)^(2034-2026)</f>
        <v>25.776506382049842</v>
      </c>
      <c r="L53" s="17">
        <f>Inputs!$B$32*(1+Inputs!$B$33)^(2035-2026)</f>
        <v>26.292036509690838</v>
      </c>
    </row>
    <row r="54" spans="1:12" x14ac:dyDescent="0.3">
      <c r="A54" s="1" t="s">
        <v>158</v>
      </c>
      <c r="C54" s="23">
        <f t="shared" ref="C54:L54" si="11">C51+C52+C53</f>
        <v>736.7</v>
      </c>
      <c r="D54" s="23">
        <f t="shared" si="11"/>
        <v>810.04000000000008</v>
      </c>
      <c r="E54" s="23">
        <f t="shared" si="11"/>
        <v>980.56679999999994</v>
      </c>
      <c r="F54" s="23">
        <f t="shared" si="11"/>
        <v>842.45201600000007</v>
      </c>
      <c r="G54" s="23">
        <f t="shared" si="11"/>
        <v>785.34084671999994</v>
      </c>
      <c r="H54" s="23">
        <f t="shared" si="11"/>
        <v>731.48571728640002</v>
      </c>
      <c r="I54" s="23">
        <f t="shared" si="11"/>
        <v>752.28660955468808</v>
      </c>
      <c r="J54" s="23">
        <f t="shared" si="11"/>
        <v>773.99721390214665</v>
      </c>
      <c r="K54" s="23">
        <f t="shared" si="11"/>
        <v>796.67522010906373</v>
      </c>
      <c r="L54" s="23">
        <f t="shared" si="11"/>
        <v>820.38263139442881</v>
      </c>
    </row>
    <row r="55" spans="1:12" x14ac:dyDescent="0.3">
      <c r="A55" s="5" t="s">
        <v>159</v>
      </c>
      <c r="C55" s="17">
        <f>-Inputs!$B$28*(1+Inputs!$B$29)^(2026-2026)</f>
        <v>-193</v>
      </c>
      <c r="D55" s="17">
        <f>-Inputs!$B$28*(1+Inputs!$B$29)^(2027-2026)</f>
        <v>-198.79</v>
      </c>
      <c r="E55" s="17">
        <f>-Inputs!$B$28*(1+Inputs!$B$29)^(2028-2026)</f>
        <v>-204.75369999999998</v>
      </c>
      <c r="F55" s="17">
        <f>-Inputs!$B$28*(1+Inputs!$B$29)^(2029-2026)</f>
        <v>-210.896311</v>
      </c>
      <c r="G55" s="17">
        <f>-Inputs!$B$28*(1+Inputs!$B$29)^(2030-2026)</f>
        <v>-217.22320033</v>
      </c>
      <c r="H55" s="17">
        <f>-Inputs!$B$28*(1+Inputs!$B$29)^(2031-2026)</f>
        <v>-223.73989633989996</v>
      </c>
      <c r="I55" s="17">
        <f>-Inputs!$B$28*(1+Inputs!$B$29)^(2032-2026)</f>
        <v>-230.45209323009698</v>
      </c>
      <c r="J55" s="17">
        <f>-Inputs!$B$28*(1+Inputs!$B$29)^(2033-2026)</f>
        <v>-237.36565602699991</v>
      </c>
      <c r="K55" s="17">
        <f>-Inputs!$B$28*(1+Inputs!$B$29)^(2034-2026)</f>
        <v>-244.48662570780988</v>
      </c>
      <c r="L55" s="17">
        <f>-Inputs!$B$28*(1+Inputs!$B$29)^(2035-2026)</f>
        <v>-251.82122447904419</v>
      </c>
    </row>
    <row r="56" spans="1:12" x14ac:dyDescent="0.3">
      <c r="A56" s="5" t="s">
        <v>160</v>
      </c>
      <c r="C56" s="17">
        <f>-C52*(1-Inputs!$B$31)</f>
        <v>-57.400000000000006</v>
      </c>
      <c r="D56" s="17">
        <f>-D52*(1-Inputs!$B$31)</f>
        <v>-61.992000000000012</v>
      </c>
      <c r="E56" s="17">
        <f>-E52*(1-Inputs!$B$31)</f>
        <v>-66.951360000000008</v>
      </c>
      <c r="F56" s="17">
        <f>-F52*(1-Inputs!$B$31)</f>
        <v>-72.307468800000009</v>
      </c>
      <c r="G56" s="17">
        <f>-G52*(1-Inputs!$B$31)</f>
        <v>-78.092066304000028</v>
      </c>
      <c r="H56" s="17">
        <f>-H52*(1-Inputs!$B$31)</f>
        <v>-84.339431608320027</v>
      </c>
      <c r="I56" s="17">
        <f>-I52*(1-Inputs!$B$31)</f>
        <v>-91.086586136985645</v>
      </c>
      <c r="J56" s="17">
        <f>-J52*(1-Inputs!$B$31)</f>
        <v>-98.373513027944497</v>
      </c>
      <c r="K56" s="17">
        <f>-K52*(1-Inputs!$B$31)</f>
        <v>-106.24339407018007</v>
      </c>
      <c r="L56" s="17">
        <f>-L52*(1-Inputs!$B$31)</f>
        <v>-114.74286559579448</v>
      </c>
    </row>
    <row r="57" spans="1:12" x14ac:dyDescent="0.3">
      <c r="A57" s="1" t="s">
        <v>132</v>
      </c>
      <c r="C57" s="23">
        <f t="shared" ref="C57:L57" si="12">C54+C55+C56</f>
        <v>486.30000000000007</v>
      </c>
      <c r="D57" s="23">
        <f t="shared" si="12"/>
        <v>549.25800000000015</v>
      </c>
      <c r="E57" s="23">
        <f t="shared" si="12"/>
        <v>708.86173999999994</v>
      </c>
      <c r="F57" s="23">
        <f t="shared" si="12"/>
        <v>559.24823620000006</v>
      </c>
      <c r="G57" s="23">
        <f t="shared" si="12"/>
        <v>490.02558008599988</v>
      </c>
      <c r="H57" s="23">
        <f t="shared" si="12"/>
        <v>423.40638933818008</v>
      </c>
      <c r="I57" s="23">
        <f t="shared" si="12"/>
        <v>430.74793018760539</v>
      </c>
      <c r="J57" s="23">
        <f t="shared" si="12"/>
        <v>438.25804484720226</v>
      </c>
      <c r="K57" s="23">
        <f t="shared" si="12"/>
        <v>445.94520033107369</v>
      </c>
      <c r="L57" s="23">
        <f t="shared" si="12"/>
        <v>453.81854131959017</v>
      </c>
    </row>
    <row r="58" spans="1:12" x14ac:dyDescent="0.3">
      <c r="A58" s="5" t="s">
        <v>137</v>
      </c>
      <c r="C58" s="11">
        <f t="shared" ref="C58:L58" si="13">C57/C54</f>
        <v>0.66010587756210126</v>
      </c>
      <c r="D58" s="11">
        <f t="shared" si="13"/>
        <v>0.67806281171300198</v>
      </c>
      <c r="E58" s="11">
        <f t="shared" si="13"/>
        <v>0.72291019846888549</v>
      </c>
      <c r="F58" s="11">
        <f t="shared" si="13"/>
        <v>0.66383393425222692</v>
      </c>
      <c r="G58" s="11">
        <f t="shared" si="13"/>
        <v>0.62396548216307191</v>
      </c>
      <c r="H58" s="11">
        <f t="shared" si="13"/>
        <v>0.57883069940024945</v>
      </c>
      <c r="I58" s="11">
        <f t="shared" si="13"/>
        <v>0.57258486953873111</v>
      </c>
      <c r="J58" s="11">
        <f t="shared" si="13"/>
        <v>0.56622690233948236</v>
      </c>
      <c r="K58" s="11">
        <f t="shared" si="13"/>
        <v>0.55975783992631833</v>
      </c>
      <c r="L58" s="11">
        <f t="shared" si="13"/>
        <v>0.55317911905109607</v>
      </c>
    </row>
    <row r="59" spans="1:12" x14ac:dyDescent="0.3">
      <c r="A59" s="5" t="s">
        <v>161</v>
      </c>
      <c r="C59" s="7">
        <f>-Inputs!$B$34</f>
        <v>-30</v>
      </c>
      <c r="D59" s="7">
        <f>-Inputs!$B$34</f>
        <v>-30</v>
      </c>
      <c r="E59" s="7">
        <f>-Inputs!$B$34</f>
        <v>-30</v>
      </c>
      <c r="F59" s="7">
        <f>-Inputs!$B$34</f>
        <v>-30</v>
      </c>
      <c r="G59" s="7">
        <f>-Inputs!$B$34</f>
        <v>-30</v>
      </c>
      <c r="H59" s="7">
        <f>-Inputs!$B$34</f>
        <v>-30</v>
      </c>
      <c r="I59" s="7">
        <f>-Inputs!$B$34</f>
        <v>-30</v>
      </c>
      <c r="J59" s="7">
        <f>-Inputs!$B$34</f>
        <v>-30</v>
      </c>
      <c r="K59" s="7">
        <f>-Inputs!$B$34</f>
        <v>-30</v>
      </c>
      <c r="L59" s="7">
        <f>-Inputs!$B$34</f>
        <v>-30</v>
      </c>
    </row>
    <row r="60" spans="1:12" x14ac:dyDescent="0.3">
      <c r="A60" s="5" t="s">
        <v>162</v>
      </c>
      <c r="C60" s="17">
        <f t="shared" ref="C60:L60" si="14">C57+C59</f>
        <v>456.30000000000007</v>
      </c>
      <c r="D60" s="17">
        <f t="shared" si="14"/>
        <v>519.25800000000015</v>
      </c>
      <c r="E60" s="17">
        <f t="shared" si="14"/>
        <v>678.86173999999994</v>
      </c>
      <c r="F60" s="17">
        <f t="shared" si="14"/>
        <v>529.24823620000006</v>
      </c>
      <c r="G60" s="17">
        <f t="shared" si="14"/>
        <v>460.02558008599988</v>
      </c>
      <c r="H60" s="17">
        <f t="shared" si="14"/>
        <v>393.40638933818008</v>
      </c>
      <c r="I60" s="17">
        <f t="shared" si="14"/>
        <v>400.74793018760539</v>
      </c>
      <c r="J60" s="17">
        <f t="shared" si="14"/>
        <v>408.25804484720226</v>
      </c>
      <c r="K60" s="17">
        <f t="shared" si="14"/>
        <v>415.94520033107369</v>
      </c>
      <c r="L60" s="17">
        <f t="shared" si="14"/>
        <v>423.81854131959017</v>
      </c>
    </row>
    <row r="61" spans="1:12" x14ac:dyDescent="0.3">
      <c r="A61" s="5" t="s">
        <v>163</v>
      </c>
      <c r="C61" s="17">
        <f>-C60*Inputs!$B$17</f>
        <v>-73.00800000000001</v>
      </c>
      <c r="D61" s="17">
        <f>-D60*Inputs!$B$17</f>
        <v>-83.081280000000021</v>
      </c>
      <c r="E61" s="17">
        <f>-E60*Inputs!$B$17</f>
        <v>-108.6178784</v>
      </c>
      <c r="F61" s="17">
        <f>-F60*Inputs!$B$17</f>
        <v>-84.679717792000005</v>
      </c>
      <c r="G61" s="17">
        <f>-G60*Inputs!$B$17</f>
        <v>-73.604092813759976</v>
      </c>
      <c r="H61" s="17">
        <f>-H60*Inputs!$B$17</f>
        <v>-62.945022294108817</v>
      </c>
      <c r="I61" s="17">
        <f>-I60*Inputs!$B$17</f>
        <v>-64.119668830016863</v>
      </c>
      <c r="J61" s="17">
        <f>-J60*Inputs!$B$17</f>
        <v>-65.321287175552357</v>
      </c>
      <c r="K61" s="17">
        <f>-K60*Inputs!$B$17</f>
        <v>-66.551232052971798</v>
      </c>
      <c r="L61" s="17">
        <f>-L60*Inputs!$B$17</f>
        <v>-67.810966611134432</v>
      </c>
    </row>
    <row r="62" spans="1:12" x14ac:dyDescent="0.3">
      <c r="A62" s="5" t="s">
        <v>164</v>
      </c>
      <c r="C62" s="17">
        <f t="shared" ref="C62:L62" si="15">C60+C61</f>
        <v>383.29200000000003</v>
      </c>
      <c r="D62" s="17">
        <f t="shared" si="15"/>
        <v>436.17672000000016</v>
      </c>
      <c r="E62" s="17">
        <f t="shared" si="15"/>
        <v>570.24386159999995</v>
      </c>
      <c r="F62" s="17">
        <f t="shared" si="15"/>
        <v>444.56851840800005</v>
      </c>
      <c r="G62" s="17">
        <f t="shared" si="15"/>
        <v>386.42148727223992</v>
      </c>
      <c r="H62" s="17">
        <f t="shared" si="15"/>
        <v>330.46136704407127</v>
      </c>
      <c r="I62" s="17">
        <f t="shared" si="15"/>
        <v>336.62826135758854</v>
      </c>
      <c r="J62" s="17">
        <f t="shared" si="15"/>
        <v>342.9367576716499</v>
      </c>
      <c r="K62" s="17">
        <f t="shared" si="15"/>
        <v>349.39396827810191</v>
      </c>
      <c r="L62" s="17">
        <f t="shared" si="15"/>
        <v>356.00757470845576</v>
      </c>
    </row>
    <row r="63" spans="1:12" x14ac:dyDescent="0.3">
      <c r="A63" s="5" t="s">
        <v>165</v>
      </c>
      <c r="C63" s="7">
        <f>-Inputs!$B$35</f>
        <v>-30</v>
      </c>
      <c r="D63" s="7">
        <f>-Inputs!$B$35</f>
        <v>-30</v>
      </c>
      <c r="E63" s="7">
        <f>-Inputs!$B$35</f>
        <v>-30</v>
      </c>
      <c r="F63" s="7">
        <f>-Inputs!$B$35</f>
        <v>-30</v>
      </c>
      <c r="G63" s="7">
        <f>-Inputs!$B$35</f>
        <v>-30</v>
      </c>
      <c r="H63" s="7">
        <f>-Inputs!$B$35</f>
        <v>-30</v>
      </c>
      <c r="I63" s="7">
        <f>-Inputs!$B$35</f>
        <v>-30</v>
      </c>
      <c r="J63" s="7">
        <f>-Inputs!$B$35</f>
        <v>-30</v>
      </c>
      <c r="K63" s="7">
        <f>-Inputs!$B$35</f>
        <v>-30</v>
      </c>
      <c r="L63" s="7">
        <f>-Inputs!$B$35</f>
        <v>-30</v>
      </c>
    </row>
    <row r="64" spans="1:12" x14ac:dyDescent="0.3">
      <c r="A64" s="5" t="s">
        <v>166</v>
      </c>
      <c r="C64" s="17">
        <f>0</f>
        <v>0</v>
      </c>
      <c r="D64" s="17">
        <f>-Inputs!$B$36*(D54-C54)</f>
        <v>-7.3340000000000032</v>
      </c>
      <c r="E64" s="17">
        <f>-Inputs!$B$36*(E54-D54)</f>
        <v>-17.052679999999988</v>
      </c>
      <c r="F64" s="17">
        <f>-Inputs!$B$36*(F54-E54)</f>
        <v>13.811478399999988</v>
      </c>
      <c r="G64" s="17">
        <f>-Inputs!$B$36*(G54-F54)</f>
        <v>5.7111169280000134</v>
      </c>
      <c r="H64" s="17">
        <f>-Inputs!$B$36*(H54-G54)</f>
        <v>5.3855129433599931</v>
      </c>
      <c r="I64" s="17">
        <f>-Inputs!$B$36*(I54-H54)</f>
        <v>-2.0800892268288069</v>
      </c>
      <c r="J64" s="17">
        <f>-Inputs!$B$36*(J54-I54)</f>
        <v>-2.1710604347458573</v>
      </c>
      <c r="K64" s="17">
        <f>-Inputs!$B$36*(K54-J54)</f>
        <v>-2.2678006206917076</v>
      </c>
      <c r="L64" s="17">
        <f>-Inputs!$B$36*(L54-K54)</f>
        <v>-2.3707411285365083</v>
      </c>
    </row>
    <row r="65" spans="1:12" x14ac:dyDescent="0.3">
      <c r="A65" s="1" t="s">
        <v>167</v>
      </c>
      <c r="C65" s="23">
        <f t="shared" ref="C65:L65" si="16">C62-C59+C63+C64</f>
        <v>383.29200000000003</v>
      </c>
      <c r="D65" s="23">
        <f t="shared" si="16"/>
        <v>428.84272000000016</v>
      </c>
      <c r="E65" s="23">
        <f t="shared" si="16"/>
        <v>553.19118159999994</v>
      </c>
      <c r="F65" s="23">
        <f t="shared" si="16"/>
        <v>458.37999680800004</v>
      </c>
      <c r="G65" s="23">
        <f t="shared" si="16"/>
        <v>392.13260420023994</v>
      </c>
      <c r="H65" s="23">
        <f t="shared" si="16"/>
        <v>335.84687998743124</v>
      </c>
      <c r="I65" s="23">
        <f t="shared" si="16"/>
        <v>334.54817213075972</v>
      </c>
      <c r="J65" s="23">
        <f t="shared" si="16"/>
        <v>340.76569723690403</v>
      </c>
      <c r="K65" s="23">
        <f t="shared" si="16"/>
        <v>347.12616765741018</v>
      </c>
      <c r="L65" s="23">
        <f t="shared" si="16"/>
        <v>353.63683357991926</v>
      </c>
    </row>
    <row r="66" spans="1:12" x14ac:dyDescent="0.3">
      <c r="A66" s="5" t="s">
        <v>168</v>
      </c>
      <c r="D66" s="21">
        <v>1</v>
      </c>
      <c r="E66" s="21">
        <v>2</v>
      </c>
      <c r="F66" s="21">
        <v>3</v>
      </c>
      <c r="G66" s="21">
        <v>4</v>
      </c>
      <c r="H66" s="21">
        <v>5</v>
      </c>
      <c r="I66" s="21">
        <v>6</v>
      </c>
      <c r="J66" s="21">
        <v>7</v>
      </c>
      <c r="K66" s="21">
        <v>8</v>
      </c>
      <c r="L66" s="21">
        <v>9</v>
      </c>
    </row>
    <row r="67" spans="1:12" x14ac:dyDescent="0.3">
      <c r="A67" s="5" t="s">
        <v>169</v>
      </c>
      <c r="D67" s="24">
        <f>1/(1+Inputs!$B$19)^D66</f>
        <v>0.91217508892982213</v>
      </c>
      <c r="E67" s="24">
        <f>1/(1+Inputs!$B$19)^E66</f>
        <v>0.83206339286412889</v>
      </c>
      <c r="F67" s="24">
        <f>1/(1+Inputs!$B$19)^F66</f>
        <v>0.75898749938108623</v>
      </c>
      <c r="G67" s="24">
        <f>1/(1+Inputs!$B$19)^G66</f>
        <v>0.69232948974456576</v>
      </c>
      <c r="H67" s="24">
        <f>1/(1+Inputs!$B$19)^H66</f>
        <v>0.63152571387648759</v>
      </c>
      <c r="I67" s="24">
        <f>1/(1+Inputs!$B$19)^I66</f>
        <v>0.57606202421675456</v>
      </c>
      <c r="J67" s="24">
        <f>1/(1+Inputs!$B$19)^J66</f>
        <v>0.52546942816901132</v>
      </c>
      <c r="K67" s="24">
        <f>1/(1+Inputs!$B$19)^K66</f>
        <v>0.47932012236997068</v>
      </c>
      <c r="L67" s="24">
        <f>1/(1+Inputs!$B$19)^L66</f>
        <v>0.43722387524868123</v>
      </c>
    </row>
    <row r="68" spans="1:12" x14ac:dyDescent="0.3">
      <c r="A68" s="5" t="s">
        <v>170</v>
      </c>
      <c r="D68" s="17">
        <f t="shared" ref="D68:L68" si="17">D65*D67</f>
        <v>391.17964625290693</v>
      </c>
      <c r="E68" s="17">
        <f t="shared" si="17"/>
        <v>460.29013146461244</v>
      </c>
      <c r="F68" s="17">
        <f t="shared" si="17"/>
        <v>347.90468754361422</v>
      </c>
      <c r="G68" s="17">
        <f t="shared" si="17"/>
        <v>271.4849657781599</v>
      </c>
      <c r="H68" s="17">
        <f t="shared" si="17"/>
        <v>212.09594063725356</v>
      </c>
      <c r="I68" s="17">
        <f t="shared" si="17"/>
        <v>192.72049723566067</v>
      </c>
      <c r="J68" s="17">
        <f t="shared" si="17"/>
        <v>179.06195606669041</v>
      </c>
      <c r="K68" s="17">
        <f t="shared" si="17"/>
        <v>166.3845571593688</v>
      </c>
      <c r="L68" s="17">
        <f t="shared" si="17"/>
        <v>154.61846680848527</v>
      </c>
    </row>
    <row r="70" spans="1:12" x14ac:dyDescent="0.3">
      <c r="A70" s="5" t="s">
        <v>171</v>
      </c>
      <c r="C70" s="8">
        <f>Inputs!C52</f>
        <v>1.4999999999999999E-2</v>
      </c>
    </row>
    <row r="71" spans="1:12" x14ac:dyDescent="0.3">
      <c r="A71" s="5" t="s">
        <v>172</v>
      </c>
      <c r="C71" s="17">
        <f>L65*(1+C70)/(Inputs!$B$19-C70)</f>
        <v>4416.0682657169455</v>
      </c>
    </row>
    <row r="72" spans="1:12" x14ac:dyDescent="0.3">
      <c r="A72" s="5" t="s">
        <v>173</v>
      </c>
      <c r="C72" s="17">
        <f>C71*L67</f>
        <v>1930.8104804994857</v>
      </c>
    </row>
    <row r="73" spans="1:12" x14ac:dyDescent="0.3">
      <c r="A73" s="5" t="s">
        <v>174</v>
      </c>
      <c r="C73" s="17">
        <f>SUM(D68:L68)</f>
        <v>2375.7408489467521</v>
      </c>
    </row>
    <row r="74" spans="1:12" x14ac:dyDescent="0.3">
      <c r="A74" s="1" t="s">
        <v>11</v>
      </c>
      <c r="C74" s="23">
        <f>C72+C73</f>
        <v>4306.551329446238</v>
      </c>
    </row>
    <row r="75" spans="1:12" x14ac:dyDescent="0.3">
      <c r="A75" s="5" t="s">
        <v>175</v>
      </c>
      <c r="C75" s="7">
        <f>Inputs!$B$9</f>
        <v>294.7</v>
      </c>
    </row>
    <row r="76" spans="1:12" x14ac:dyDescent="0.3">
      <c r="A76" s="5" t="s">
        <v>176</v>
      </c>
      <c r="C76" s="17">
        <f>C65*Inputs!$B$37</f>
        <v>191.64600000000002</v>
      </c>
    </row>
    <row r="77" spans="1:12" x14ac:dyDescent="0.3">
      <c r="A77" s="1" t="s">
        <v>177</v>
      </c>
      <c r="C77" s="23">
        <f>SUM(C74:C76)</f>
        <v>4792.8973294462376</v>
      </c>
    </row>
    <row r="78" spans="1:12" x14ac:dyDescent="0.3">
      <c r="A78" s="1" t="s">
        <v>12</v>
      </c>
      <c r="C78" s="10">
        <f>C77/Inputs!$B$6</f>
        <v>129.30362126544466</v>
      </c>
    </row>
    <row r="79" spans="1:12" x14ac:dyDescent="0.3">
      <c r="A79" s="5" t="s">
        <v>178</v>
      </c>
      <c r="C79" s="11">
        <f>C78/Inputs!$B$5-1</f>
        <v>-0.38892428513494959</v>
      </c>
    </row>
    <row r="80" spans="1:12" x14ac:dyDescent="0.3">
      <c r="A80" s="5" t="s">
        <v>14</v>
      </c>
      <c r="C80" s="11">
        <f>C72/C74</f>
        <v>0.44834261403027575</v>
      </c>
    </row>
    <row r="81" spans="1:12" x14ac:dyDescent="0.3">
      <c r="A81" s="5" t="s">
        <v>179</v>
      </c>
      <c r="C81" s="25">
        <f>Inputs!$B$18/D62</f>
        <v>17.982108719603367</v>
      </c>
    </row>
    <row r="82" spans="1:12" x14ac:dyDescent="0.3">
      <c r="A82" s="5" t="s">
        <v>180</v>
      </c>
      <c r="C82" s="26">
        <f>AVERAGE(D47:L47)</f>
        <v>60</v>
      </c>
    </row>
    <row r="85" spans="1:12" x14ac:dyDescent="0.3">
      <c r="A85" s="1" t="s">
        <v>104</v>
      </c>
    </row>
    <row r="86" spans="1:12" x14ac:dyDescent="0.3">
      <c r="A86" s="3" t="s">
        <v>123</v>
      </c>
      <c r="B86" s="4"/>
      <c r="C86" s="4" t="s">
        <v>84</v>
      </c>
      <c r="D86" s="4" t="s">
        <v>85</v>
      </c>
      <c r="E86" s="4" t="s">
        <v>86</v>
      </c>
      <c r="F86" s="4" t="s">
        <v>87</v>
      </c>
      <c r="G86" s="4" t="s">
        <v>88</v>
      </c>
      <c r="H86" s="4" t="s">
        <v>89</v>
      </c>
      <c r="I86" s="4" t="s">
        <v>90</v>
      </c>
      <c r="J86" s="4" t="s">
        <v>91</v>
      </c>
      <c r="K86" s="4" t="s">
        <v>92</v>
      </c>
      <c r="L86" s="4" t="s">
        <v>93</v>
      </c>
    </row>
    <row r="87" spans="1:12" x14ac:dyDescent="0.3">
      <c r="A87" s="5" t="s">
        <v>150</v>
      </c>
      <c r="C87" s="7">
        <f>Inputs!C$41</f>
        <v>644.70000000000005</v>
      </c>
      <c r="D87" s="7">
        <f>Inputs!D$41</f>
        <v>655</v>
      </c>
      <c r="E87" s="7">
        <f>Inputs!E$41</f>
        <v>603</v>
      </c>
      <c r="F87" s="7">
        <f>Inputs!F$41</f>
        <v>221.3</v>
      </c>
      <c r="G87" s="7">
        <f>Inputs!G$41</f>
        <v>73.8</v>
      </c>
      <c r="H87" s="7">
        <f>Inputs!H$41</f>
        <v>0</v>
      </c>
      <c r="I87" s="7">
        <f>Inputs!I$41</f>
        <v>0</v>
      </c>
      <c r="J87" s="7">
        <f>Inputs!J$41</f>
        <v>0</v>
      </c>
      <c r="K87" s="7">
        <f>Inputs!K$41</f>
        <v>0</v>
      </c>
      <c r="L87" s="7">
        <f>Inputs!L$41</f>
        <v>0</v>
      </c>
    </row>
    <row r="88" spans="1:12" x14ac:dyDescent="0.3">
      <c r="A88" s="5" t="s">
        <v>151</v>
      </c>
      <c r="C88" s="6">
        <f>Inputs!C55</f>
        <v>40</v>
      </c>
      <c r="D88" s="6">
        <f>Inputs!D55</f>
        <v>75</v>
      </c>
      <c r="E88" s="6">
        <f>Inputs!E55</f>
        <v>75</v>
      </c>
      <c r="F88" s="6">
        <f>Inputs!F55</f>
        <v>75</v>
      </c>
      <c r="G88" s="6">
        <f>Inputs!G55</f>
        <v>75</v>
      </c>
      <c r="H88" s="6">
        <f>Inputs!H55</f>
        <v>75</v>
      </c>
      <c r="I88" s="6">
        <f>Inputs!I55</f>
        <v>75</v>
      </c>
      <c r="J88" s="6">
        <f>Inputs!J55</f>
        <v>75</v>
      </c>
      <c r="K88" s="6">
        <f>Inputs!K55</f>
        <v>75</v>
      </c>
      <c r="L88" s="6">
        <f>Inputs!L55</f>
        <v>75</v>
      </c>
    </row>
    <row r="89" spans="1:12" x14ac:dyDescent="0.3">
      <c r="A89" s="5" t="s">
        <v>152</v>
      </c>
      <c r="C89" s="17">
        <f>Inputs!$B$22*(1+Inputs!$B$23)^(2026-2026)</f>
        <v>9.5</v>
      </c>
      <c r="D89" s="17">
        <f>Inputs!$B$22*(1+Inputs!$B$23)^(2027-2026)</f>
        <v>9.69</v>
      </c>
      <c r="E89" s="17">
        <f>Inputs!$B$22*(1+Inputs!$B$23)^(2028-2026)</f>
        <v>9.8838000000000008</v>
      </c>
      <c r="F89" s="17">
        <f>Inputs!$B$22*(1+Inputs!$B$23)^(2029-2026)</f>
        <v>10.081475999999999</v>
      </c>
      <c r="G89" s="17">
        <f>Inputs!$B$22*(1+Inputs!$B$23)^(2030-2026)</f>
        <v>10.283105519999999</v>
      </c>
      <c r="H89" s="17">
        <f>Inputs!$B$22*(1+Inputs!$B$23)^(2031-2026)</f>
        <v>10.4887676304</v>
      </c>
      <c r="I89" s="17">
        <f>Inputs!$B$22*(1+Inputs!$B$23)^(2032-2026)</f>
        <v>10.698542983008</v>
      </c>
      <c r="J89" s="17">
        <f>Inputs!$B$22*(1+Inputs!$B$23)^(2033-2026)</f>
        <v>10.912513842668158</v>
      </c>
      <c r="K89" s="17">
        <f>Inputs!$B$22*(1+Inputs!$B$23)^(2034-2026)</f>
        <v>11.130764119521523</v>
      </c>
      <c r="L89" s="17">
        <f>Inputs!$B$22*(1+Inputs!$B$23)^(2035-2026)</f>
        <v>11.353379401911953</v>
      </c>
    </row>
    <row r="90" spans="1:12" x14ac:dyDescent="0.3">
      <c r="A90" s="5" t="s">
        <v>153</v>
      </c>
      <c r="C90" s="17">
        <f t="shared" ref="C90:L90" si="18">C88*C89</f>
        <v>380</v>
      </c>
      <c r="D90" s="17">
        <f t="shared" si="18"/>
        <v>726.75</v>
      </c>
      <c r="E90" s="17">
        <f t="shared" si="18"/>
        <v>741.28500000000008</v>
      </c>
      <c r="F90" s="17">
        <f t="shared" si="18"/>
        <v>756.11069999999984</v>
      </c>
      <c r="G90" s="17">
        <f t="shared" si="18"/>
        <v>771.23291399999994</v>
      </c>
      <c r="H90" s="17">
        <f t="shared" si="18"/>
        <v>786.65757227999995</v>
      </c>
      <c r="I90" s="17">
        <f t="shared" si="18"/>
        <v>802.39072372559997</v>
      </c>
      <c r="J90" s="17">
        <f t="shared" si="18"/>
        <v>818.43853820011191</v>
      </c>
      <c r="K90" s="17">
        <f t="shared" si="18"/>
        <v>834.80730896411421</v>
      </c>
      <c r="L90" s="17">
        <f t="shared" si="18"/>
        <v>851.50345514339642</v>
      </c>
    </row>
    <row r="91" spans="1:12" x14ac:dyDescent="0.3">
      <c r="A91" s="5" t="s">
        <v>154</v>
      </c>
      <c r="C91" s="17">
        <f>0</f>
        <v>0</v>
      </c>
      <c r="D91" s="17">
        <f>C90*Inputs!$B$24</f>
        <v>76</v>
      </c>
      <c r="E91" s="17">
        <f>D90*Inputs!$B$24+C90*Inputs!$B$25</f>
        <v>354.35</v>
      </c>
      <c r="F91" s="17">
        <f>E90*Inputs!$B$24+D90*Inputs!$B$25+C90*Inputs!$B$26</f>
        <v>642.96950000000004</v>
      </c>
      <c r="G91" s="17">
        <f>F90*Inputs!$B$24+E90*Inputs!$B$25+D90*Inputs!$B$26</f>
        <v>740.61639000000002</v>
      </c>
      <c r="H91" s="17">
        <f>G90*Inputs!$B$24+F90*Inputs!$B$25+E90*Inputs!$B$26</f>
        <v>755.42871779999996</v>
      </c>
      <c r="I91" s="17">
        <f>H90*Inputs!$B$24+G90*Inputs!$B$25+F90*Inputs!$B$26</f>
        <v>770.53729215599992</v>
      </c>
      <c r="J91" s="17">
        <f>I90*Inputs!$B$24+H90*Inputs!$B$25+G90*Inputs!$B$26</f>
        <v>785.94803799912006</v>
      </c>
      <c r="K91" s="17">
        <f>J90*Inputs!$B$24+I90*Inputs!$B$25+H90*Inputs!$B$26</f>
        <v>801.6669987591024</v>
      </c>
      <c r="L91" s="17">
        <f>K90*Inputs!$B$24+J90*Inputs!$B$25+I90*Inputs!$B$26</f>
        <v>817.7003387342844</v>
      </c>
    </row>
    <row r="92" spans="1:12" x14ac:dyDescent="0.3">
      <c r="A92" s="5" t="s">
        <v>155</v>
      </c>
      <c r="C92" s="17">
        <f t="shared" ref="C92:L92" si="19">C87+C91</f>
        <v>644.70000000000005</v>
      </c>
      <c r="D92" s="17">
        <f t="shared" si="19"/>
        <v>731</v>
      </c>
      <c r="E92" s="17">
        <f t="shared" si="19"/>
        <v>957.35</v>
      </c>
      <c r="F92" s="17">
        <f t="shared" si="19"/>
        <v>864.26950000000011</v>
      </c>
      <c r="G92" s="17">
        <f t="shared" si="19"/>
        <v>814.41638999999998</v>
      </c>
      <c r="H92" s="17">
        <f t="shared" si="19"/>
        <v>755.42871779999996</v>
      </c>
      <c r="I92" s="17">
        <f t="shared" si="19"/>
        <v>770.53729215599992</v>
      </c>
      <c r="J92" s="17">
        <f t="shared" si="19"/>
        <v>785.94803799912006</v>
      </c>
      <c r="K92" s="17">
        <f t="shared" si="19"/>
        <v>801.6669987591024</v>
      </c>
      <c r="L92" s="17">
        <f t="shared" si="19"/>
        <v>817.7003387342844</v>
      </c>
    </row>
    <row r="93" spans="1:12" x14ac:dyDescent="0.3">
      <c r="A93" s="5" t="s">
        <v>156</v>
      </c>
      <c r="C93" s="7">
        <f>Inputs!$B$30</f>
        <v>70</v>
      </c>
      <c r="D93" s="17">
        <f>C93*(1+Inputs!$C$56)</f>
        <v>78.400000000000006</v>
      </c>
      <c r="E93" s="17">
        <f>D93*(1+Inputs!$C$56)</f>
        <v>87.808000000000021</v>
      </c>
      <c r="F93" s="17">
        <f>E93*(1+Inputs!$C$56)</f>
        <v>98.344960000000029</v>
      </c>
      <c r="G93" s="17">
        <f>F93*(1+Inputs!$C$56)</f>
        <v>110.14635520000004</v>
      </c>
      <c r="H93" s="17">
        <f>G93*(1+Inputs!$C$56)</f>
        <v>123.36391782400007</v>
      </c>
      <c r="I93" s="17">
        <f>H93*(1+Inputs!$C$56)</f>
        <v>138.16758796288008</v>
      </c>
      <c r="J93" s="17">
        <f>I93*(1+Inputs!$C$56)</f>
        <v>154.74769851842569</v>
      </c>
      <c r="K93" s="17">
        <f>J93*(1+Inputs!$C$56)</f>
        <v>173.3174223406368</v>
      </c>
      <c r="L93" s="17">
        <f>K93*(1+Inputs!$C$56)</f>
        <v>194.11551302151324</v>
      </c>
    </row>
    <row r="94" spans="1:12" x14ac:dyDescent="0.3">
      <c r="A94" s="5" t="s">
        <v>157</v>
      </c>
      <c r="C94" s="17">
        <f>Inputs!$B$32*(1+Inputs!$B$33)^(2026-2026)</f>
        <v>22</v>
      </c>
      <c r="D94" s="17">
        <f>Inputs!$B$32*(1+Inputs!$B$33)^(2027-2026)</f>
        <v>22.44</v>
      </c>
      <c r="E94" s="17">
        <f>Inputs!$B$32*(1+Inputs!$B$33)^(2028-2026)</f>
        <v>22.8888</v>
      </c>
      <c r="F94" s="17">
        <f>Inputs!$B$32*(1+Inputs!$B$33)^(2029-2026)</f>
        <v>23.346575999999999</v>
      </c>
      <c r="G94" s="17">
        <f>Inputs!$B$32*(1+Inputs!$B$33)^(2030-2026)</f>
        <v>23.813507519999998</v>
      </c>
      <c r="H94" s="17">
        <f>Inputs!$B$32*(1+Inputs!$B$33)^(2031-2026)</f>
        <v>24.289777670399999</v>
      </c>
      <c r="I94" s="17">
        <f>Inputs!$B$32*(1+Inputs!$B$33)^(2032-2026)</f>
        <v>24.775573223808003</v>
      </c>
      <c r="J94" s="17">
        <f>Inputs!$B$32*(1+Inputs!$B$33)^(2033-2026)</f>
        <v>25.271084688284155</v>
      </c>
      <c r="K94" s="17">
        <f>Inputs!$B$32*(1+Inputs!$B$33)^(2034-2026)</f>
        <v>25.776506382049842</v>
      </c>
      <c r="L94" s="17">
        <f>Inputs!$B$32*(1+Inputs!$B$33)^(2035-2026)</f>
        <v>26.292036509690838</v>
      </c>
    </row>
    <row r="95" spans="1:12" x14ac:dyDescent="0.3">
      <c r="A95" s="1" t="s">
        <v>158</v>
      </c>
      <c r="C95" s="23">
        <f t="shared" ref="C95:L95" si="20">C92+C93+C94</f>
        <v>736.7</v>
      </c>
      <c r="D95" s="23">
        <f t="shared" si="20"/>
        <v>831.84</v>
      </c>
      <c r="E95" s="23">
        <f t="shared" si="20"/>
        <v>1068.0468000000001</v>
      </c>
      <c r="F95" s="23">
        <f t="shared" si="20"/>
        <v>985.96103600000015</v>
      </c>
      <c r="G95" s="23">
        <f t="shared" si="20"/>
        <v>948.37625272000002</v>
      </c>
      <c r="H95" s="23">
        <f t="shared" si="20"/>
        <v>903.0824132944</v>
      </c>
      <c r="I95" s="23">
        <f t="shared" si="20"/>
        <v>933.48045334268807</v>
      </c>
      <c r="J95" s="23">
        <f t="shared" si="20"/>
        <v>965.96682120583</v>
      </c>
      <c r="K95" s="23">
        <f t="shared" si="20"/>
        <v>1000.7609274817891</v>
      </c>
      <c r="L95" s="23">
        <f t="shared" si="20"/>
        <v>1038.1078882654886</v>
      </c>
    </row>
    <row r="96" spans="1:12" x14ac:dyDescent="0.3">
      <c r="A96" s="5" t="s">
        <v>159</v>
      </c>
      <c r="C96" s="17">
        <f>-Inputs!$B$28*(1+Inputs!$B$29)^(2026-2026)</f>
        <v>-193</v>
      </c>
      <c r="D96" s="17">
        <f>-Inputs!$B$28*(1+Inputs!$B$29)^(2027-2026)</f>
        <v>-198.79</v>
      </c>
      <c r="E96" s="17">
        <f>-Inputs!$B$28*(1+Inputs!$B$29)^(2028-2026)</f>
        <v>-204.75369999999998</v>
      </c>
      <c r="F96" s="17">
        <f>-Inputs!$B$28*(1+Inputs!$B$29)^(2029-2026)</f>
        <v>-210.896311</v>
      </c>
      <c r="G96" s="17">
        <f>-Inputs!$B$28*(1+Inputs!$B$29)^(2030-2026)</f>
        <v>-217.22320033</v>
      </c>
      <c r="H96" s="17">
        <f>-Inputs!$B$28*(1+Inputs!$B$29)^(2031-2026)</f>
        <v>-223.73989633989996</v>
      </c>
      <c r="I96" s="17">
        <f>-Inputs!$B$28*(1+Inputs!$B$29)^(2032-2026)</f>
        <v>-230.45209323009698</v>
      </c>
      <c r="J96" s="17">
        <f>-Inputs!$B$28*(1+Inputs!$B$29)^(2033-2026)</f>
        <v>-237.36565602699991</v>
      </c>
      <c r="K96" s="17">
        <f>-Inputs!$B$28*(1+Inputs!$B$29)^(2034-2026)</f>
        <v>-244.48662570780988</v>
      </c>
      <c r="L96" s="17">
        <f>-Inputs!$B$28*(1+Inputs!$B$29)^(2035-2026)</f>
        <v>-251.82122447904419</v>
      </c>
    </row>
    <row r="97" spans="1:12" x14ac:dyDescent="0.3">
      <c r="A97" s="5" t="s">
        <v>160</v>
      </c>
      <c r="C97" s="17">
        <f>-C93*(1-Inputs!$B$31)</f>
        <v>-57.400000000000006</v>
      </c>
      <c r="D97" s="17">
        <f>-D93*(1-Inputs!$B$31)</f>
        <v>-64.288000000000011</v>
      </c>
      <c r="E97" s="17">
        <f>-E93*(1-Inputs!$B$31)</f>
        <v>-72.002560000000017</v>
      </c>
      <c r="F97" s="17">
        <f>-F93*(1-Inputs!$B$31)</f>
        <v>-80.642867200000026</v>
      </c>
      <c r="G97" s="17">
        <f>-G93*(1-Inputs!$B$31)</f>
        <v>-90.320011264000044</v>
      </c>
      <c r="H97" s="17">
        <f>-H93*(1-Inputs!$B$31)</f>
        <v>-101.15841261568006</v>
      </c>
      <c r="I97" s="17">
        <f>-I93*(1-Inputs!$B$31)</f>
        <v>-113.29742212956167</v>
      </c>
      <c r="J97" s="17">
        <f>-J93*(1-Inputs!$B$31)</f>
        <v>-126.89311278510908</v>
      </c>
      <c r="K97" s="17">
        <f>-K93*(1-Inputs!$B$31)</f>
        <v>-142.12028631932219</v>
      </c>
      <c r="L97" s="17">
        <f>-L93*(1-Inputs!$B$31)</f>
        <v>-159.17472067764086</v>
      </c>
    </row>
    <row r="98" spans="1:12" x14ac:dyDescent="0.3">
      <c r="A98" s="1" t="s">
        <v>132</v>
      </c>
      <c r="C98" s="23">
        <f t="shared" ref="C98:L98" si="21">C95+C96+C97</f>
        <v>486.30000000000007</v>
      </c>
      <c r="D98" s="23">
        <f t="shared" si="21"/>
        <v>568.76200000000006</v>
      </c>
      <c r="E98" s="23">
        <f t="shared" si="21"/>
        <v>791.29054000000008</v>
      </c>
      <c r="F98" s="23">
        <f t="shared" si="21"/>
        <v>694.42185780000011</v>
      </c>
      <c r="G98" s="23">
        <f t="shared" si="21"/>
        <v>640.83304112600001</v>
      </c>
      <c r="H98" s="23">
        <f t="shared" si="21"/>
        <v>578.18410433882002</v>
      </c>
      <c r="I98" s="23">
        <f t="shared" si="21"/>
        <v>589.73093798302943</v>
      </c>
      <c r="J98" s="23">
        <f t="shared" si="21"/>
        <v>601.708052393721</v>
      </c>
      <c r="K98" s="23">
        <f t="shared" si="21"/>
        <v>614.15401545465704</v>
      </c>
      <c r="L98" s="23">
        <f t="shared" si="21"/>
        <v>627.11194310880353</v>
      </c>
    </row>
    <row r="99" spans="1:12" x14ac:dyDescent="0.3">
      <c r="A99" s="5" t="s">
        <v>137</v>
      </c>
      <c r="C99" s="11">
        <f t="shared" ref="C99:L99" si="22">C98/C95</f>
        <v>0.66010587756210126</v>
      </c>
      <c r="D99" s="11">
        <f t="shared" si="22"/>
        <v>0.68373966147336029</v>
      </c>
      <c r="E99" s="11">
        <f t="shared" si="22"/>
        <v>0.74087627995327543</v>
      </c>
      <c r="F99" s="11">
        <f t="shared" si="22"/>
        <v>0.70430963541646485</v>
      </c>
      <c r="G99" s="11">
        <f t="shared" si="22"/>
        <v>0.6757160349471556</v>
      </c>
      <c r="H99" s="11">
        <f t="shared" si="22"/>
        <v>0.64023404268236495</v>
      </c>
      <c r="I99" s="11">
        <f t="shared" si="22"/>
        <v>0.63175499376689626</v>
      </c>
      <c r="J99" s="11">
        <f t="shared" si="22"/>
        <v>0.62290757734577296</v>
      </c>
      <c r="K99" s="11">
        <f t="shared" si="22"/>
        <v>0.61368704411757014</v>
      </c>
      <c r="L99" s="11">
        <f t="shared" si="22"/>
        <v>0.6040912993702483</v>
      </c>
    </row>
    <row r="100" spans="1:12" x14ac:dyDescent="0.3">
      <c r="A100" s="5" t="s">
        <v>161</v>
      </c>
      <c r="C100" s="7">
        <f>-Inputs!$B$34</f>
        <v>-30</v>
      </c>
      <c r="D100" s="7">
        <f>-Inputs!$B$34</f>
        <v>-30</v>
      </c>
      <c r="E100" s="7">
        <f>-Inputs!$B$34</f>
        <v>-30</v>
      </c>
      <c r="F100" s="7">
        <f>-Inputs!$B$34</f>
        <v>-30</v>
      </c>
      <c r="G100" s="7">
        <f>-Inputs!$B$34</f>
        <v>-30</v>
      </c>
      <c r="H100" s="7">
        <f>-Inputs!$B$34</f>
        <v>-30</v>
      </c>
      <c r="I100" s="7">
        <f>-Inputs!$B$34</f>
        <v>-30</v>
      </c>
      <c r="J100" s="7">
        <f>-Inputs!$B$34</f>
        <v>-30</v>
      </c>
      <c r="K100" s="7">
        <f>-Inputs!$B$34</f>
        <v>-30</v>
      </c>
      <c r="L100" s="7">
        <f>-Inputs!$B$34</f>
        <v>-30</v>
      </c>
    </row>
    <row r="101" spans="1:12" x14ac:dyDescent="0.3">
      <c r="A101" s="5" t="s">
        <v>162</v>
      </c>
      <c r="C101" s="17">
        <f t="shared" ref="C101:L101" si="23">C98+C100</f>
        <v>456.30000000000007</v>
      </c>
      <c r="D101" s="17">
        <f t="shared" si="23"/>
        <v>538.76200000000006</v>
      </c>
      <c r="E101" s="17">
        <f t="shared" si="23"/>
        <v>761.29054000000008</v>
      </c>
      <c r="F101" s="17">
        <f t="shared" si="23"/>
        <v>664.42185780000011</v>
      </c>
      <c r="G101" s="17">
        <f t="shared" si="23"/>
        <v>610.83304112600001</v>
      </c>
      <c r="H101" s="17">
        <f t="shared" si="23"/>
        <v>548.18410433882002</v>
      </c>
      <c r="I101" s="17">
        <f t="shared" si="23"/>
        <v>559.73093798302943</v>
      </c>
      <c r="J101" s="17">
        <f t="shared" si="23"/>
        <v>571.708052393721</v>
      </c>
      <c r="K101" s="17">
        <f t="shared" si="23"/>
        <v>584.15401545465704</v>
      </c>
      <c r="L101" s="17">
        <f t="shared" si="23"/>
        <v>597.11194310880353</v>
      </c>
    </row>
    <row r="102" spans="1:12" x14ac:dyDescent="0.3">
      <c r="A102" s="5" t="s">
        <v>163</v>
      </c>
      <c r="C102" s="17">
        <f>-C101*Inputs!$B$17</f>
        <v>-73.00800000000001</v>
      </c>
      <c r="D102" s="17">
        <f>-D101*Inputs!$B$17</f>
        <v>-86.201920000000015</v>
      </c>
      <c r="E102" s="17">
        <f>-E101*Inputs!$B$17</f>
        <v>-121.80648640000001</v>
      </c>
      <c r="F102" s="17">
        <f>-F101*Inputs!$B$17</f>
        <v>-106.30749724800002</v>
      </c>
      <c r="G102" s="17">
        <f>-G101*Inputs!$B$17</f>
        <v>-97.733286580159998</v>
      </c>
      <c r="H102" s="17">
        <f>-H101*Inputs!$B$17</f>
        <v>-87.709456694211198</v>
      </c>
      <c r="I102" s="17">
        <f>-I101*Inputs!$B$17</f>
        <v>-89.556950077284711</v>
      </c>
      <c r="J102" s="17">
        <f>-J101*Inputs!$B$17</f>
        <v>-91.473288382995364</v>
      </c>
      <c r="K102" s="17">
        <f>-K101*Inputs!$B$17</f>
        <v>-93.464642472745126</v>
      </c>
      <c r="L102" s="17">
        <f>-L101*Inputs!$B$17</f>
        <v>-95.537910897408565</v>
      </c>
    </row>
    <row r="103" spans="1:12" x14ac:dyDescent="0.3">
      <c r="A103" s="5" t="s">
        <v>164</v>
      </c>
      <c r="C103" s="17">
        <f t="shared" ref="C103:L103" si="24">C101+C102</f>
        <v>383.29200000000003</v>
      </c>
      <c r="D103" s="17">
        <f t="shared" si="24"/>
        <v>452.56008000000003</v>
      </c>
      <c r="E103" s="17">
        <f t="shared" si="24"/>
        <v>639.48405360000004</v>
      </c>
      <c r="F103" s="17">
        <f t="shared" si="24"/>
        <v>558.11436055200011</v>
      </c>
      <c r="G103" s="17">
        <f t="shared" si="24"/>
        <v>513.09975454584003</v>
      </c>
      <c r="H103" s="17">
        <f t="shared" si="24"/>
        <v>460.47464764460881</v>
      </c>
      <c r="I103" s="17">
        <f t="shared" si="24"/>
        <v>470.17398790574475</v>
      </c>
      <c r="J103" s="17">
        <f t="shared" si="24"/>
        <v>480.23476401072566</v>
      </c>
      <c r="K103" s="17">
        <f t="shared" si="24"/>
        <v>490.6893729819119</v>
      </c>
      <c r="L103" s="17">
        <f t="shared" si="24"/>
        <v>501.57403221139498</v>
      </c>
    </row>
    <row r="104" spans="1:12" x14ac:dyDescent="0.3">
      <c r="A104" s="5" t="s">
        <v>165</v>
      </c>
      <c r="C104" s="7">
        <f>-Inputs!$B$35</f>
        <v>-30</v>
      </c>
      <c r="D104" s="7">
        <f>-Inputs!$B$35</f>
        <v>-30</v>
      </c>
      <c r="E104" s="7">
        <f>-Inputs!$B$35</f>
        <v>-30</v>
      </c>
      <c r="F104" s="7">
        <f>-Inputs!$B$35</f>
        <v>-30</v>
      </c>
      <c r="G104" s="7">
        <f>-Inputs!$B$35</f>
        <v>-30</v>
      </c>
      <c r="H104" s="7">
        <f>-Inputs!$B$35</f>
        <v>-30</v>
      </c>
      <c r="I104" s="7">
        <f>-Inputs!$B$35</f>
        <v>-30</v>
      </c>
      <c r="J104" s="7">
        <f>-Inputs!$B$35</f>
        <v>-30</v>
      </c>
      <c r="K104" s="7">
        <f>-Inputs!$B$35</f>
        <v>-30</v>
      </c>
      <c r="L104" s="7">
        <f>-Inputs!$B$35</f>
        <v>-30</v>
      </c>
    </row>
    <row r="105" spans="1:12" x14ac:dyDescent="0.3">
      <c r="A105" s="5" t="s">
        <v>166</v>
      </c>
      <c r="C105" s="17">
        <f>0</f>
        <v>0</v>
      </c>
      <c r="D105" s="17">
        <f>-Inputs!$B$36*(D95-C95)</f>
        <v>-9.5139999999999993</v>
      </c>
      <c r="E105" s="17">
        <f>-Inputs!$B$36*(E95-D95)</f>
        <v>-23.620680000000007</v>
      </c>
      <c r="F105" s="17">
        <f>-Inputs!$B$36*(F95-E95)</f>
        <v>8.208576399999993</v>
      </c>
      <c r="G105" s="17">
        <f>-Inputs!$B$36*(G95-F95)</f>
        <v>3.7584783280000127</v>
      </c>
      <c r="H105" s="17">
        <f>-Inputs!$B$36*(H95-G95)</f>
        <v>4.5293839425600027</v>
      </c>
      <c r="I105" s="17">
        <f>-Inputs!$B$36*(I95-H95)</f>
        <v>-3.0398040048288069</v>
      </c>
      <c r="J105" s="17">
        <f>-Inputs!$B$36*(J95-I95)</f>
        <v>-3.2486367863141936</v>
      </c>
      <c r="K105" s="17">
        <f>-Inputs!$B$36*(K95-J95)</f>
        <v>-3.4794106275959056</v>
      </c>
      <c r="L105" s="17">
        <f>-Inputs!$B$36*(L95-K95)</f>
        <v>-3.7346960783699501</v>
      </c>
    </row>
    <row r="106" spans="1:12" x14ac:dyDescent="0.3">
      <c r="A106" s="1" t="s">
        <v>167</v>
      </c>
      <c r="C106" s="23">
        <f t="shared" ref="C106:L106" si="25">C103-C100+C104+C105</f>
        <v>383.29200000000003</v>
      </c>
      <c r="D106" s="23">
        <f t="shared" si="25"/>
        <v>443.04608000000002</v>
      </c>
      <c r="E106" s="23">
        <f t="shared" si="25"/>
        <v>615.86337360000005</v>
      </c>
      <c r="F106" s="23">
        <f t="shared" si="25"/>
        <v>566.32293695200008</v>
      </c>
      <c r="G106" s="23">
        <f t="shared" si="25"/>
        <v>516.85823287384005</v>
      </c>
      <c r="H106" s="23">
        <f t="shared" si="25"/>
        <v>465.00403158716881</v>
      </c>
      <c r="I106" s="23">
        <f t="shared" si="25"/>
        <v>467.13418390091596</v>
      </c>
      <c r="J106" s="23">
        <f t="shared" si="25"/>
        <v>476.98612722441146</v>
      </c>
      <c r="K106" s="23">
        <f t="shared" si="25"/>
        <v>487.20996235431602</v>
      </c>
      <c r="L106" s="23">
        <f t="shared" si="25"/>
        <v>497.83933613302503</v>
      </c>
    </row>
    <row r="107" spans="1:12" x14ac:dyDescent="0.3">
      <c r="A107" s="5" t="s">
        <v>168</v>
      </c>
      <c r="D107" s="21">
        <v>1</v>
      </c>
      <c r="E107" s="21">
        <v>2</v>
      </c>
      <c r="F107" s="21">
        <v>3</v>
      </c>
      <c r="G107" s="21">
        <v>4</v>
      </c>
      <c r="H107" s="21">
        <v>5</v>
      </c>
      <c r="I107" s="21">
        <v>6</v>
      </c>
      <c r="J107" s="21">
        <v>7</v>
      </c>
      <c r="K107" s="21">
        <v>8</v>
      </c>
      <c r="L107" s="21">
        <v>9</v>
      </c>
    </row>
    <row r="108" spans="1:12" x14ac:dyDescent="0.3">
      <c r="A108" s="5" t="s">
        <v>169</v>
      </c>
      <c r="D108" s="24">
        <f>1/(1+Inputs!$B$19)^D107</f>
        <v>0.91217508892982213</v>
      </c>
      <c r="E108" s="24">
        <f>1/(1+Inputs!$B$19)^E107</f>
        <v>0.83206339286412889</v>
      </c>
      <c r="F108" s="24">
        <f>1/(1+Inputs!$B$19)^F107</f>
        <v>0.75898749938108623</v>
      </c>
      <c r="G108" s="24">
        <f>1/(1+Inputs!$B$19)^G107</f>
        <v>0.69232948974456576</v>
      </c>
      <c r="H108" s="24">
        <f>1/(1+Inputs!$B$19)^H107</f>
        <v>0.63152571387648759</v>
      </c>
      <c r="I108" s="24">
        <f>1/(1+Inputs!$B$19)^I107</f>
        <v>0.57606202421675456</v>
      </c>
      <c r="J108" s="24">
        <f>1/(1+Inputs!$B$19)^J107</f>
        <v>0.52546942816901132</v>
      </c>
      <c r="K108" s="24">
        <f>1/(1+Inputs!$B$19)^K107</f>
        <v>0.47932012236997068</v>
      </c>
      <c r="L108" s="24">
        <f>1/(1+Inputs!$B$19)^L107</f>
        <v>0.43722387524868123</v>
      </c>
    </row>
    <row r="109" spans="1:12" x14ac:dyDescent="0.3">
      <c r="A109" s="5" t="s">
        <v>170</v>
      </c>
      <c r="D109" s="17">
        <f t="shared" ref="D109:L109" si="26">D106*D108</f>
        <v>404.13559742400912</v>
      </c>
      <c r="E109" s="17">
        <f t="shared" si="26"/>
        <v>512.43736817836464</v>
      </c>
      <c r="F109" s="17">
        <f t="shared" si="26"/>
        <v>429.83202975935109</v>
      </c>
      <c r="G109" s="17">
        <f t="shared" si="26"/>
        <v>357.83619663582363</v>
      </c>
      <c r="H109" s="17">
        <f t="shared" si="26"/>
        <v>293.66200300353159</v>
      </c>
      <c r="I109" s="17">
        <f t="shared" si="26"/>
        <v>269.09826355880335</v>
      </c>
      <c r="J109" s="17">
        <f t="shared" si="26"/>
        <v>250.64162751716276</v>
      </c>
      <c r="K109" s="17">
        <f t="shared" si="26"/>
        <v>233.52953877553955</v>
      </c>
      <c r="L109" s="17">
        <f t="shared" si="26"/>
        <v>217.667243795312</v>
      </c>
    </row>
    <row r="111" spans="1:12" x14ac:dyDescent="0.3">
      <c r="A111" s="5" t="s">
        <v>171</v>
      </c>
      <c r="C111" s="8">
        <f>Inputs!C57</f>
        <v>0.02</v>
      </c>
    </row>
    <row r="112" spans="1:12" x14ac:dyDescent="0.3">
      <c r="A112" s="5" t="s">
        <v>172</v>
      </c>
      <c r="C112" s="17">
        <f>L106*(1+C111)/(Inputs!$B$19-C111)</f>
        <v>6656.9357855783664</v>
      </c>
    </row>
    <row r="113" spans="1:3" x14ac:dyDescent="0.3">
      <c r="A113" s="5" t="s">
        <v>173</v>
      </c>
      <c r="C113" s="17">
        <f>C112*L108</f>
        <v>2910.5712614521976</v>
      </c>
    </row>
    <row r="114" spans="1:3" x14ac:dyDescent="0.3">
      <c r="A114" s="5" t="s">
        <v>174</v>
      </c>
      <c r="C114" s="17">
        <f>SUM(D109:L109)</f>
        <v>2968.8398686478977</v>
      </c>
    </row>
    <row r="115" spans="1:3" x14ac:dyDescent="0.3">
      <c r="A115" s="1" t="s">
        <v>11</v>
      </c>
      <c r="C115" s="23">
        <f>C113+C114</f>
        <v>5879.4111301000958</v>
      </c>
    </row>
    <row r="116" spans="1:3" x14ac:dyDescent="0.3">
      <c r="A116" s="5" t="s">
        <v>175</v>
      </c>
      <c r="C116" s="7">
        <f>Inputs!$B$9</f>
        <v>294.7</v>
      </c>
    </row>
    <row r="117" spans="1:3" x14ac:dyDescent="0.3">
      <c r="A117" s="5" t="s">
        <v>176</v>
      </c>
      <c r="C117" s="17">
        <f>C106*Inputs!$B$37</f>
        <v>191.64600000000002</v>
      </c>
    </row>
    <row r="118" spans="1:3" x14ac:dyDescent="0.3">
      <c r="A118" s="1" t="s">
        <v>177</v>
      </c>
      <c r="C118" s="23">
        <f>SUM(C115:C117)</f>
        <v>6365.7571301000953</v>
      </c>
    </row>
    <row r="119" spans="1:3" x14ac:dyDescent="0.3">
      <c r="A119" s="1" t="s">
        <v>12</v>
      </c>
      <c r="C119" s="10">
        <f>C118/Inputs!$B$6</f>
        <v>171.73650767799109</v>
      </c>
    </row>
    <row r="120" spans="1:3" x14ac:dyDescent="0.3">
      <c r="A120" s="5" t="s">
        <v>178</v>
      </c>
      <c r="C120" s="11">
        <f>C119/Inputs!$B$5-1</f>
        <v>-0.18839079547263193</v>
      </c>
    </row>
    <row r="121" spans="1:3" x14ac:dyDescent="0.3">
      <c r="A121" s="5" t="s">
        <v>14</v>
      </c>
      <c r="C121" s="11">
        <f>C113/C115</f>
        <v>0.49504469019887126</v>
      </c>
    </row>
    <row r="122" spans="1:3" x14ac:dyDescent="0.3">
      <c r="A122" s="5" t="s">
        <v>179</v>
      </c>
      <c r="C122" s="25">
        <f>Inputs!$B$18/D103</f>
        <v>17.331129161900446</v>
      </c>
    </row>
    <row r="123" spans="1:3" x14ac:dyDescent="0.3">
      <c r="A123" s="5" t="s">
        <v>180</v>
      </c>
      <c r="C123" s="26">
        <f>AVERAGE(D88:L88)</f>
        <v>75</v>
      </c>
    </row>
    <row r="126" spans="1:3" x14ac:dyDescent="0.3">
      <c r="A126" s="2" t="s">
        <v>181</v>
      </c>
    </row>
    <row r="128" spans="1:3" x14ac:dyDescent="0.3">
      <c r="A128" s="1" t="s">
        <v>182</v>
      </c>
    </row>
    <row r="129" spans="1:12" x14ac:dyDescent="0.3">
      <c r="A129" s="3" t="s">
        <v>123</v>
      </c>
      <c r="B129" s="4"/>
      <c r="C129" s="4" t="s">
        <v>84</v>
      </c>
      <c r="D129" s="4" t="s">
        <v>85</v>
      </c>
      <c r="E129" s="4" t="s">
        <v>86</v>
      </c>
      <c r="F129" s="4" t="s">
        <v>87</v>
      </c>
      <c r="G129" s="4" t="s">
        <v>88</v>
      </c>
      <c r="H129" s="4" t="s">
        <v>89</v>
      </c>
      <c r="I129" s="4" t="s">
        <v>90</v>
      </c>
      <c r="J129" s="4" t="s">
        <v>91</v>
      </c>
      <c r="K129" s="4" t="s">
        <v>92</v>
      </c>
      <c r="L129" s="4" t="s">
        <v>93</v>
      </c>
    </row>
    <row r="130" spans="1:12" x14ac:dyDescent="0.3">
      <c r="A130" s="5" t="s">
        <v>150</v>
      </c>
      <c r="C130" s="7">
        <f>Inputs!C$41</f>
        <v>644.70000000000005</v>
      </c>
      <c r="D130" s="7">
        <f>Inputs!D$41</f>
        <v>655</v>
      </c>
      <c r="E130" s="7">
        <f>Inputs!E$41</f>
        <v>603</v>
      </c>
      <c r="F130" s="7">
        <f>Inputs!F$41</f>
        <v>221.3</v>
      </c>
      <c r="G130" s="7">
        <f>Inputs!G$41</f>
        <v>73.8</v>
      </c>
      <c r="H130" s="7">
        <f>Inputs!H$41</f>
        <v>0</v>
      </c>
      <c r="I130" s="7">
        <f>Inputs!I$41</f>
        <v>0</v>
      </c>
      <c r="J130" s="7">
        <f>Inputs!J$41</f>
        <v>0</v>
      </c>
      <c r="K130" s="7">
        <f>Inputs!K$41</f>
        <v>0</v>
      </c>
      <c r="L130" s="7">
        <f>Inputs!L$41</f>
        <v>0</v>
      </c>
    </row>
    <row r="131" spans="1:12" x14ac:dyDescent="0.3">
      <c r="A131" s="5" t="s">
        <v>151</v>
      </c>
      <c r="C131" s="6">
        <f>Inputs!C60</f>
        <v>30</v>
      </c>
      <c r="D131" s="6">
        <f>Inputs!D60</f>
        <v>0</v>
      </c>
      <c r="E131" s="6">
        <f>Inputs!E60</f>
        <v>0</v>
      </c>
      <c r="F131" s="6">
        <f>Inputs!F60</f>
        <v>0</v>
      </c>
      <c r="G131" s="6">
        <f>Inputs!G60</f>
        <v>0</v>
      </c>
      <c r="H131" s="6">
        <f>Inputs!H60</f>
        <v>0</v>
      </c>
      <c r="I131" s="6">
        <f>Inputs!I60</f>
        <v>0</v>
      </c>
      <c r="J131" s="6">
        <f>Inputs!J60</f>
        <v>0</v>
      </c>
      <c r="K131" s="6">
        <f>Inputs!K60</f>
        <v>0</v>
      </c>
      <c r="L131" s="6">
        <f>Inputs!L60</f>
        <v>0</v>
      </c>
    </row>
    <row r="132" spans="1:12" x14ac:dyDescent="0.3">
      <c r="A132" s="5" t="s">
        <v>152</v>
      </c>
      <c r="C132" s="17">
        <f>Inputs!$B$22*(1+Inputs!$B$23)^(2026-2026)</f>
        <v>9.5</v>
      </c>
      <c r="D132" s="17">
        <f>Inputs!$B$22*(1+Inputs!$B$23)^(2027-2026)</f>
        <v>9.69</v>
      </c>
      <c r="E132" s="17">
        <f>Inputs!$B$22*(1+Inputs!$B$23)^(2028-2026)</f>
        <v>9.8838000000000008</v>
      </c>
      <c r="F132" s="17">
        <f>Inputs!$B$22*(1+Inputs!$B$23)^(2029-2026)</f>
        <v>10.081475999999999</v>
      </c>
      <c r="G132" s="17">
        <f>Inputs!$B$22*(1+Inputs!$B$23)^(2030-2026)</f>
        <v>10.283105519999999</v>
      </c>
      <c r="H132" s="17">
        <f>Inputs!$B$22*(1+Inputs!$B$23)^(2031-2026)</f>
        <v>10.4887676304</v>
      </c>
      <c r="I132" s="17">
        <f>Inputs!$B$22*(1+Inputs!$B$23)^(2032-2026)</f>
        <v>10.698542983008</v>
      </c>
      <c r="J132" s="17">
        <f>Inputs!$B$22*(1+Inputs!$B$23)^(2033-2026)</f>
        <v>10.912513842668158</v>
      </c>
      <c r="K132" s="17">
        <f>Inputs!$B$22*(1+Inputs!$B$23)^(2034-2026)</f>
        <v>11.130764119521523</v>
      </c>
      <c r="L132" s="17">
        <f>Inputs!$B$22*(1+Inputs!$B$23)^(2035-2026)</f>
        <v>11.353379401911953</v>
      </c>
    </row>
    <row r="133" spans="1:12" x14ac:dyDescent="0.3">
      <c r="A133" s="5" t="s">
        <v>153</v>
      </c>
      <c r="C133" s="17">
        <f t="shared" ref="C133:L133" si="27">C131*C132</f>
        <v>285</v>
      </c>
      <c r="D133" s="17">
        <f t="shared" si="27"/>
        <v>0</v>
      </c>
      <c r="E133" s="17">
        <f t="shared" si="27"/>
        <v>0</v>
      </c>
      <c r="F133" s="17">
        <f t="shared" si="27"/>
        <v>0</v>
      </c>
      <c r="G133" s="17">
        <f t="shared" si="27"/>
        <v>0</v>
      </c>
      <c r="H133" s="17">
        <f t="shared" si="27"/>
        <v>0</v>
      </c>
      <c r="I133" s="17">
        <f t="shared" si="27"/>
        <v>0</v>
      </c>
      <c r="J133" s="17">
        <f t="shared" si="27"/>
        <v>0</v>
      </c>
      <c r="K133" s="17">
        <f t="shared" si="27"/>
        <v>0</v>
      </c>
      <c r="L133" s="17">
        <f t="shared" si="27"/>
        <v>0</v>
      </c>
    </row>
    <row r="134" spans="1:12" x14ac:dyDescent="0.3">
      <c r="A134" s="5" t="s">
        <v>154</v>
      </c>
      <c r="C134" s="17">
        <f>0</f>
        <v>0</v>
      </c>
      <c r="D134" s="17">
        <f>C133*Inputs!$B$24</f>
        <v>57</v>
      </c>
      <c r="E134" s="17">
        <f>D133*Inputs!$B$24+C133*Inputs!$B$25</f>
        <v>156.75</v>
      </c>
      <c r="F134" s="17">
        <f>E133*Inputs!$B$24+D133*Inputs!$B$25+C133*Inputs!$B$26</f>
        <v>71.25</v>
      </c>
      <c r="G134" s="17">
        <f>F133*Inputs!$B$24+E133*Inputs!$B$25+D133*Inputs!$B$26</f>
        <v>0</v>
      </c>
      <c r="H134" s="17">
        <f>G133*Inputs!$B$24+F133*Inputs!$B$25+E133*Inputs!$B$26</f>
        <v>0</v>
      </c>
      <c r="I134" s="17">
        <f>H133*Inputs!$B$24+G133*Inputs!$B$25+F133*Inputs!$B$26</f>
        <v>0</v>
      </c>
      <c r="J134" s="17">
        <f>I133*Inputs!$B$24+H133*Inputs!$B$25+G133*Inputs!$B$26</f>
        <v>0</v>
      </c>
      <c r="K134" s="17">
        <f>J133*Inputs!$B$24+I133*Inputs!$B$25+H133*Inputs!$B$26</f>
        <v>0</v>
      </c>
      <c r="L134" s="17">
        <f>K133*Inputs!$B$24+J133*Inputs!$B$25+I133*Inputs!$B$26</f>
        <v>0</v>
      </c>
    </row>
    <row r="135" spans="1:12" x14ac:dyDescent="0.3">
      <c r="A135" s="5" t="s">
        <v>155</v>
      </c>
      <c r="C135" s="17">
        <f t="shared" ref="C135:L135" si="28">C130+C134</f>
        <v>644.70000000000005</v>
      </c>
      <c r="D135" s="17">
        <f t="shared" si="28"/>
        <v>712</v>
      </c>
      <c r="E135" s="17">
        <f t="shared" si="28"/>
        <v>759.75</v>
      </c>
      <c r="F135" s="17">
        <f t="shared" si="28"/>
        <v>292.55</v>
      </c>
      <c r="G135" s="17">
        <f t="shared" si="28"/>
        <v>73.8</v>
      </c>
      <c r="H135" s="17">
        <f t="shared" si="28"/>
        <v>0</v>
      </c>
      <c r="I135" s="17">
        <f t="shared" si="28"/>
        <v>0</v>
      </c>
      <c r="J135" s="17">
        <f t="shared" si="28"/>
        <v>0</v>
      </c>
      <c r="K135" s="17">
        <f t="shared" si="28"/>
        <v>0</v>
      </c>
      <c r="L135" s="17">
        <f t="shared" si="28"/>
        <v>0</v>
      </c>
    </row>
    <row r="136" spans="1:12" x14ac:dyDescent="0.3">
      <c r="A136" s="5" t="s">
        <v>156</v>
      </c>
      <c r="C136" s="7">
        <f>Inputs!$B$30</f>
        <v>70</v>
      </c>
      <c r="D136" s="17">
        <f>C136*(1+Inputs!$C$61)</f>
        <v>75.600000000000009</v>
      </c>
      <c r="E136" s="17">
        <f>D136*(1+Inputs!$C$61)</f>
        <v>81.64800000000001</v>
      </c>
      <c r="F136" s="17">
        <f>E136*(1+Inputs!$C$61)</f>
        <v>88.179840000000013</v>
      </c>
      <c r="G136" s="17">
        <f>F136*(1+Inputs!$C$61)</f>
        <v>95.234227200000021</v>
      </c>
      <c r="H136" s="17">
        <f>G136*(1+Inputs!$C$61)</f>
        <v>102.85296537600003</v>
      </c>
      <c r="I136" s="17">
        <f>H136*(1+Inputs!$C$61)</f>
        <v>111.08120260608004</v>
      </c>
      <c r="J136" s="17">
        <f>I136*(1+Inputs!$C$61)</f>
        <v>119.96769881456645</v>
      </c>
      <c r="K136" s="17">
        <f>J136*(1+Inputs!$C$61)</f>
        <v>129.56511471973178</v>
      </c>
      <c r="L136" s="17">
        <f>K136*(1+Inputs!$C$61)</f>
        <v>139.93032389731033</v>
      </c>
    </row>
    <row r="137" spans="1:12" x14ac:dyDescent="0.3">
      <c r="A137" s="5" t="s">
        <v>157</v>
      </c>
      <c r="C137" s="17">
        <f>Inputs!$B$32*(1+Inputs!$B$33)^(2026-2026)</f>
        <v>22</v>
      </c>
      <c r="D137" s="17">
        <f>Inputs!$B$32*(1+Inputs!$B$33)^(2027-2026)</f>
        <v>22.44</v>
      </c>
      <c r="E137" s="17">
        <f>Inputs!$B$32*(1+Inputs!$B$33)^(2028-2026)</f>
        <v>22.8888</v>
      </c>
      <c r="F137" s="17">
        <f>Inputs!$B$32*(1+Inputs!$B$33)^(2029-2026)</f>
        <v>23.346575999999999</v>
      </c>
      <c r="G137" s="17">
        <f>Inputs!$B$32*(1+Inputs!$B$33)^(2030-2026)</f>
        <v>23.813507519999998</v>
      </c>
      <c r="H137" s="17">
        <f>Inputs!$B$32*(1+Inputs!$B$33)^(2031-2026)</f>
        <v>24.289777670399999</v>
      </c>
      <c r="I137" s="17">
        <f>Inputs!$B$32*(1+Inputs!$B$33)^(2032-2026)</f>
        <v>24.775573223808003</v>
      </c>
      <c r="J137" s="17">
        <f>Inputs!$B$32*(1+Inputs!$B$33)^(2033-2026)</f>
        <v>25.271084688284155</v>
      </c>
      <c r="K137" s="17">
        <f>Inputs!$B$32*(1+Inputs!$B$33)^(2034-2026)</f>
        <v>25.776506382049842</v>
      </c>
      <c r="L137" s="17">
        <f>Inputs!$B$32*(1+Inputs!$B$33)^(2035-2026)</f>
        <v>26.292036509690838</v>
      </c>
    </row>
    <row r="138" spans="1:12" x14ac:dyDescent="0.3">
      <c r="A138" s="1" t="s">
        <v>158</v>
      </c>
      <c r="C138" s="23">
        <f t="shared" ref="C138:L138" si="29">C135+C136+C137</f>
        <v>736.7</v>
      </c>
      <c r="D138" s="23">
        <f t="shared" si="29"/>
        <v>810.04000000000008</v>
      </c>
      <c r="E138" s="23">
        <f t="shared" si="29"/>
        <v>864.28679999999997</v>
      </c>
      <c r="F138" s="23">
        <f t="shared" si="29"/>
        <v>404.07641599999999</v>
      </c>
      <c r="G138" s="23">
        <f t="shared" si="29"/>
        <v>192.84773472000003</v>
      </c>
      <c r="H138" s="23">
        <f t="shared" si="29"/>
        <v>127.14274304640003</v>
      </c>
      <c r="I138" s="23">
        <f t="shared" si="29"/>
        <v>135.85677582988805</v>
      </c>
      <c r="J138" s="23">
        <f t="shared" si="29"/>
        <v>145.23878350285059</v>
      </c>
      <c r="K138" s="23">
        <f t="shared" si="29"/>
        <v>155.34162110178161</v>
      </c>
      <c r="L138" s="23">
        <f t="shared" si="29"/>
        <v>166.22236040700116</v>
      </c>
    </row>
    <row r="139" spans="1:12" x14ac:dyDescent="0.3">
      <c r="A139" s="5" t="s">
        <v>159</v>
      </c>
      <c r="C139" s="17">
        <f>-Inputs!$B$28*(1+Inputs!$B$29)^(2026-2026)</f>
        <v>-193</v>
      </c>
      <c r="D139" s="17">
        <f>-Inputs!$B$28*(1+Inputs!$B$29)^(2027-2026)</f>
        <v>-198.79</v>
      </c>
      <c r="E139" s="17">
        <f>-Inputs!$B$28*(1+Inputs!$B$29)^(2028-2026)</f>
        <v>-204.75369999999998</v>
      </c>
      <c r="F139" s="17">
        <f>-Inputs!$B$28*(1+Inputs!$B$29)^(2029-2026)</f>
        <v>-210.896311</v>
      </c>
      <c r="G139" s="17">
        <f>-Inputs!$B$28*(1+Inputs!$B$29)^(2030-2026)</f>
        <v>-217.22320033</v>
      </c>
      <c r="H139" s="17">
        <f>-Inputs!$B$28*(1+Inputs!$B$29)^(2031-2026)</f>
        <v>-223.73989633989996</v>
      </c>
      <c r="I139" s="17">
        <f>-Inputs!$B$28*(1+Inputs!$B$29)^(2032-2026)</f>
        <v>-230.45209323009698</v>
      </c>
      <c r="J139" s="17">
        <f>-Inputs!$B$28*(1+Inputs!$B$29)^(2033-2026)</f>
        <v>-237.36565602699991</v>
      </c>
      <c r="K139" s="17">
        <f>-Inputs!$B$28*(1+Inputs!$B$29)^(2034-2026)</f>
        <v>-244.48662570780988</v>
      </c>
      <c r="L139" s="17">
        <f>-Inputs!$B$28*(1+Inputs!$B$29)^(2035-2026)</f>
        <v>-251.82122447904419</v>
      </c>
    </row>
    <row r="140" spans="1:12" x14ac:dyDescent="0.3">
      <c r="A140" s="5" t="s">
        <v>160</v>
      </c>
      <c r="C140" s="17">
        <f>-C136*(1-Inputs!$B$31)</f>
        <v>-57.400000000000006</v>
      </c>
      <c r="D140" s="17">
        <f>-D136*(1-Inputs!$B$31)</f>
        <v>-61.992000000000012</v>
      </c>
      <c r="E140" s="17">
        <f>-E136*(1-Inputs!$B$31)</f>
        <v>-66.951360000000008</v>
      </c>
      <c r="F140" s="17">
        <f>-F136*(1-Inputs!$B$31)</f>
        <v>-72.307468800000009</v>
      </c>
      <c r="G140" s="17">
        <f>-G136*(1-Inputs!$B$31)</f>
        <v>-78.092066304000028</v>
      </c>
      <c r="H140" s="17">
        <f>-H136*(1-Inputs!$B$31)</f>
        <v>-84.339431608320027</v>
      </c>
      <c r="I140" s="17">
        <f>-I136*(1-Inputs!$B$31)</f>
        <v>-91.086586136985645</v>
      </c>
      <c r="J140" s="17">
        <f>-J136*(1-Inputs!$B$31)</f>
        <v>-98.373513027944497</v>
      </c>
      <c r="K140" s="17">
        <f>-K136*(1-Inputs!$B$31)</f>
        <v>-106.24339407018007</v>
      </c>
      <c r="L140" s="17">
        <f>-L136*(1-Inputs!$B$31)</f>
        <v>-114.74286559579448</v>
      </c>
    </row>
    <row r="141" spans="1:12" x14ac:dyDescent="0.3">
      <c r="A141" s="1" t="s">
        <v>132</v>
      </c>
      <c r="C141" s="23">
        <f t="shared" ref="C141:L141" si="30">C138+C139+C140</f>
        <v>486.30000000000007</v>
      </c>
      <c r="D141" s="23">
        <f t="shared" si="30"/>
        <v>549.25800000000015</v>
      </c>
      <c r="E141" s="23">
        <f t="shared" si="30"/>
        <v>592.58173999999997</v>
      </c>
      <c r="F141" s="23">
        <f t="shared" si="30"/>
        <v>120.87263619999999</v>
      </c>
      <c r="G141" s="23">
        <f t="shared" si="30"/>
        <v>-102.46753191399999</v>
      </c>
      <c r="H141" s="23">
        <f t="shared" si="30"/>
        <v>-180.93658490181997</v>
      </c>
      <c r="I141" s="23">
        <f t="shared" si="30"/>
        <v>-185.68190353719456</v>
      </c>
      <c r="J141" s="23">
        <f t="shared" si="30"/>
        <v>-190.5003855520938</v>
      </c>
      <c r="K141" s="23">
        <f t="shared" si="30"/>
        <v>-195.38839867620834</v>
      </c>
      <c r="L141" s="23">
        <f t="shared" si="30"/>
        <v>-200.34172966783751</v>
      </c>
    </row>
    <row r="142" spans="1:12" x14ac:dyDescent="0.3">
      <c r="A142" s="5" t="s">
        <v>137</v>
      </c>
      <c r="C142" s="11">
        <f t="shared" ref="C142:L142" si="31">C141/C138</f>
        <v>0.66010587756210126</v>
      </c>
      <c r="D142" s="11">
        <f t="shared" si="31"/>
        <v>0.67806281171300198</v>
      </c>
      <c r="E142" s="11">
        <f t="shared" si="31"/>
        <v>0.68563090400084781</v>
      </c>
      <c r="F142" s="11">
        <f t="shared" si="31"/>
        <v>0.29913311298029327</v>
      </c>
      <c r="G142" s="11">
        <f t="shared" si="31"/>
        <v>-0.53133904872035398</v>
      </c>
      <c r="H142" s="11">
        <f t="shared" si="31"/>
        <v>-1.4230980122537404</v>
      </c>
      <c r="I142" s="11">
        <f t="shared" si="31"/>
        <v>-1.3667474618247575</v>
      </c>
      <c r="J142" s="11">
        <f t="shared" si="31"/>
        <v>-1.3116357832090686</v>
      </c>
      <c r="K142" s="11">
        <f t="shared" si="31"/>
        <v>-1.2577981180471112</v>
      </c>
      <c r="L142" s="11">
        <f t="shared" si="31"/>
        <v>-1.205263414484633</v>
      </c>
    </row>
    <row r="143" spans="1:12" x14ac:dyDescent="0.3">
      <c r="A143" s="5" t="s">
        <v>161</v>
      </c>
      <c r="C143" s="7">
        <f>-Inputs!$B$34</f>
        <v>-30</v>
      </c>
      <c r="D143" s="7">
        <f>-Inputs!$B$34</f>
        <v>-30</v>
      </c>
      <c r="E143" s="7">
        <f>-Inputs!$B$34</f>
        <v>-30</v>
      </c>
      <c r="F143" s="7">
        <f>-Inputs!$B$34</f>
        <v>-30</v>
      </c>
      <c r="G143" s="7">
        <f>-Inputs!$B$34</f>
        <v>-30</v>
      </c>
      <c r="H143" s="7">
        <f>-Inputs!$B$34</f>
        <v>-30</v>
      </c>
      <c r="I143" s="7">
        <f>-Inputs!$B$34</f>
        <v>-30</v>
      </c>
      <c r="J143" s="7">
        <f>-Inputs!$B$34</f>
        <v>-30</v>
      </c>
      <c r="K143" s="7">
        <f>-Inputs!$B$34</f>
        <v>-30</v>
      </c>
      <c r="L143" s="7">
        <f>-Inputs!$B$34</f>
        <v>-30</v>
      </c>
    </row>
    <row r="144" spans="1:12" x14ac:dyDescent="0.3">
      <c r="A144" s="5" t="s">
        <v>162</v>
      </c>
      <c r="C144" s="17">
        <f t="shared" ref="C144:L144" si="32">C141+C143</f>
        <v>456.30000000000007</v>
      </c>
      <c r="D144" s="17">
        <f t="shared" si="32"/>
        <v>519.25800000000015</v>
      </c>
      <c r="E144" s="17">
        <f t="shared" si="32"/>
        <v>562.58173999999997</v>
      </c>
      <c r="F144" s="17">
        <f t="shared" si="32"/>
        <v>90.872636199999988</v>
      </c>
      <c r="G144" s="17">
        <f t="shared" si="32"/>
        <v>-132.46753191400001</v>
      </c>
      <c r="H144" s="17">
        <f t="shared" si="32"/>
        <v>-210.93658490181997</v>
      </c>
      <c r="I144" s="17">
        <f t="shared" si="32"/>
        <v>-215.68190353719456</v>
      </c>
      <c r="J144" s="17">
        <f t="shared" si="32"/>
        <v>-220.5003855520938</v>
      </c>
      <c r="K144" s="17">
        <f t="shared" si="32"/>
        <v>-225.38839867620834</v>
      </c>
      <c r="L144" s="17">
        <f t="shared" si="32"/>
        <v>-230.34172966783751</v>
      </c>
    </row>
    <row r="145" spans="1:12" x14ac:dyDescent="0.3">
      <c r="A145" s="5" t="s">
        <v>163</v>
      </c>
      <c r="C145" s="17">
        <f>-C144*Inputs!$B$17</f>
        <v>-73.00800000000001</v>
      </c>
      <c r="D145" s="17">
        <f>-D144*Inputs!$B$17</f>
        <v>-83.081280000000021</v>
      </c>
      <c r="E145" s="17">
        <f>-E144*Inputs!$B$17</f>
        <v>-90.013078399999998</v>
      </c>
      <c r="F145" s="17">
        <f>-F144*Inputs!$B$17</f>
        <v>-14.539621791999998</v>
      </c>
      <c r="G145" s="17">
        <f>-G144*Inputs!$B$17</f>
        <v>21.19480510624</v>
      </c>
      <c r="H145" s="17">
        <f>-H144*Inputs!$B$17</f>
        <v>33.749853584291195</v>
      </c>
      <c r="I145" s="17">
        <f>-I144*Inputs!$B$17</f>
        <v>34.509104565951127</v>
      </c>
      <c r="J145" s="17">
        <f>-J144*Inputs!$B$17</f>
        <v>35.28006168833501</v>
      </c>
      <c r="K145" s="17">
        <f>-K144*Inputs!$B$17</f>
        <v>36.062143788193332</v>
      </c>
      <c r="L145" s="17">
        <f>-L144*Inputs!$B$17</f>
        <v>36.854676746854004</v>
      </c>
    </row>
    <row r="146" spans="1:12" x14ac:dyDescent="0.3">
      <c r="A146" s="5" t="s">
        <v>164</v>
      </c>
      <c r="C146" s="17">
        <f t="shared" ref="C146:L146" si="33">C144+C145</f>
        <v>383.29200000000003</v>
      </c>
      <c r="D146" s="17">
        <f t="shared" si="33"/>
        <v>436.17672000000016</v>
      </c>
      <c r="E146" s="17">
        <f t="shared" si="33"/>
        <v>472.56866159999998</v>
      </c>
      <c r="F146" s="17">
        <f t="shared" si="33"/>
        <v>76.333014407999997</v>
      </c>
      <c r="G146" s="17">
        <f t="shared" si="33"/>
        <v>-111.27272680776001</v>
      </c>
      <c r="H146" s="17">
        <f t="shared" si="33"/>
        <v>-177.18673131752877</v>
      </c>
      <c r="I146" s="17">
        <f t="shared" si="33"/>
        <v>-181.17279897124342</v>
      </c>
      <c r="J146" s="17">
        <f t="shared" si="33"/>
        <v>-185.22032386375878</v>
      </c>
      <c r="K146" s="17">
        <f t="shared" si="33"/>
        <v>-189.326254888015</v>
      </c>
      <c r="L146" s="17">
        <f t="shared" si="33"/>
        <v>-193.4870529209835</v>
      </c>
    </row>
    <row r="147" spans="1:12" x14ac:dyDescent="0.3">
      <c r="A147" s="5" t="s">
        <v>165</v>
      </c>
      <c r="C147" s="7">
        <f>-Inputs!$B$35</f>
        <v>-30</v>
      </c>
      <c r="D147" s="7">
        <f>-Inputs!$B$35</f>
        <v>-30</v>
      </c>
      <c r="E147" s="7">
        <f>-Inputs!$B$35</f>
        <v>-30</v>
      </c>
      <c r="F147" s="7">
        <f>-Inputs!$B$35</f>
        <v>-30</v>
      </c>
      <c r="G147" s="7">
        <f>-Inputs!$B$35</f>
        <v>-30</v>
      </c>
      <c r="H147" s="7">
        <f>-Inputs!$B$35</f>
        <v>-30</v>
      </c>
      <c r="I147" s="7">
        <f>-Inputs!$B$35</f>
        <v>-30</v>
      </c>
      <c r="J147" s="7">
        <f>-Inputs!$B$35</f>
        <v>-30</v>
      </c>
      <c r="K147" s="7">
        <f>-Inputs!$B$35</f>
        <v>-30</v>
      </c>
      <c r="L147" s="7">
        <f>-Inputs!$B$35</f>
        <v>-30</v>
      </c>
    </row>
    <row r="148" spans="1:12" x14ac:dyDescent="0.3">
      <c r="A148" s="5" t="s">
        <v>166</v>
      </c>
      <c r="C148" s="17">
        <f>0</f>
        <v>0</v>
      </c>
      <c r="D148" s="17">
        <f>-Inputs!$B$36*(D138-C138)</f>
        <v>-7.3340000000000032</v>
      </c>
      <c r="E148" s="17">
        <f>-Inputs!$B$36*(E138-D138)</f>
        <v>-5.4246799999999897</v>
      </c>
      <c r="F148" s="17">
        <f>-Inputs!$B$36*(F138-E138)</f>
        <v>46.021038400000002</v>
      </c>
      <c r="G148" s="17">
        <f>-Inputs!$B$36*(G138-F138)</f>
        <v>21.122868127999997</v>
      </c>
      <c r="H148" s="17">
        <f>-Inputs!$B$36*(H138-G138)</f>
        <v>6.5704991673600013</v>
      </c>
      <c r="I148" s="17">
        <f>-Inputs!$B$36*(I138-H138)</f>
        <v>-0.87140327834880227</v>
      </c>
      <c r="J148" s="17">
        <f>-Inputs!$B$36*(J138-I138)</f>
        <v>-0.93820076729625446</v>
      </c>
      <c r="K148" s="17">
        <f>-Inputs!$B$36*(K138-J138)</f>
        <v>-1.0102837598931018</v>
      </c>
      <c r="L148" s="17">
        <f>-Inputs!$B$36*(L138-K138)</f>
        <v>-1.0880739305219549</v>
      </c>
    </row>
    <row r="149" spans="1:12" x14ac:dyDescent="0.3">
      <c r="A149" s="1" t="s">
        <v>167</v>
      </c>
      <c r="C149" s="23">
        <f t="shared" ref="C149:L149" si="34">C146-C143+C147+C148</f>
        <v>383.29200000000003</v>
      </c>
      <c r="D149" s="23">
        <f t="shared" si="34"/>
        <v>428.84272000000016</v>
      </c>
      <c r="E149" s="23">
        <f t="shared" si="34"/>
        <v>467.14398160000002</v>
      </c>
      <c r="F149" s="23">
        <f t="shared" si="34"/>
        <v>122.35405280800001</v>
      </c>
      <c r="G149" s="23">
        <f t="shared" si="34"/>
        <v>-90.149858679760015</v>
      </c>
      <c r="H149" s="23">
        <f t="shared" si="34"/>
        <v>-170.61623215016877</v>
      </c>
      <c r="I149" s="23">
        <f t="shared" si="34"/>
        <v>-182.04420224959222</v>
      </c>
      <c r="J149" s="23">
        <f t="shared" si="34"/>
        <v>-186.15852463105503</v>
      </c>
      <c r="K149" s="23">
        <f t="shared" si="34"/>
        <v>-190.3365386479081</v>
      </c>
      <c r="L149" s="23">
        <f t="shared" si="34"/>
        <v>-194.57512685150544</v>
      </c>
    </row>
    <row r="150" spans="1:12" x14ac:dyDescent="0.3">
      <c r="A150" s="5" t="s">
        <v>168</v>
      </c>
      <c r="D150" s="21">
        <v>1</v>
      </c>
      <c r="E150" s="21">
        <v>2</v>
      </c>
      <c r="F150" s="21">
        <v>3</v>
      </c>
      <c r="G150" s="21">
        <v>4</v>
      </c>
      <c r="H150" s="21">
        <v>5</v>
      </c>
      <c r="I150" s="21">
        <v>6</v>
      </c>
      <c r="J150" s="21">
        <v>7</v>
      </c>
      <c r="K150" s="21">
        <v>8</v>
      </c>
      <c r="L150" s="21">
        <v>9</v>
      </c>
    </row>
    <row r="151" spans="1:12" x14ac:dyDescent="0.3">
      <c r="A151" s="5" t="s">
        <v>169</v>
      </c>
      <c r="D151" s="24">
        <f>1/(1+Inputs!$B$19)^D150</f>
        <v>0.91217508892982213</v>
      </c>
      <c r="E151" s="24">
        <f>1/(1+Inputs!$B$19)^E150</f>
        <v>0.83206339286412889</v>
      </c>
      <c r="F151" s="24">
        <f>1/(1+Inputs!$B$19)^F150</f>
        <v>0.75898749938108623</v>
      </c>
      <c r="G151" s="24">
        <f>1/(1+Inputs!$B$19)^G150</f>
        <v>0.69232948974456576</v>
      </c>
      <c r="H151" s="24">
        <f>1/(1+Inputs!$B$19)^H150</f>
        <v>0.63152571387648759</v>
      </c>
      <c r="I151" s="24">
        <f>1/(1+Inputs!$B$19)^I150</f>
        <v>0.57606202421675456</v>
      </c>
      <c r="J151" s="24">
        <f>1/(1+Inputs!$B$19)^J150</f>
        <v>0.52546942816901132</v>
      </c>
      <c r="K151" s="24">
        <f>1/(1+Inputs!$B$19)^K150</f>
        <v>0.47932012236997068</v>
      </c>
      <c r="L151" s="24">
        <f>1/(1+Inputs!$B$19)^L150</f>
        <v>0.43722387524868123</v>
      </c>
    </row>
    <row r="152" spans="1:12" x14ac:dyDescent="0.3">
      <c r="A152" s="5" t="s">
        <v>170</v>
      </c>
      <c r="D152" s="17">
        <f t="shared" ref="D152:L152" si="35">D149*D151</f>
        <v>391.17964625290693</v>
      </c>
      <c r="E152" s="17">
        <f t="shared" si="35"/>
        <v>388.69340628615419</v>
      </c>
      <c r="F152" s="17">
        <f t="shared" si="35"/>
        <v>92.865196579885293</v>
      </c>
      <c r="G152" s="17">
        <f t="shared" si="35"/>
        <v>-62.413405660302963</v>
      </c>
      <c r="H152" s="17">
        <f t="shared" si="35"/>
        <v>-107.74853780755187</v>
      </c>
      <c r="I152" s="17">
        <f t="shared" si="35"/>
        <v>-104.86875164482436</v>
      </c>
      <c r="J152" s="17">
        <f t="shared" si="35"/>
        <v>-97.820613486667298</v>
      </c>
      <c r="K152" s="17">
        <f t="shared" si="35"/>
        <v>-91.232132996191964</v>
      </c>
      <c r="L152" s="17">
        <f t="shared" si="35"/>
        <v>-85.072890989018944</v>
      </c>
    </row>
    <row r="154" spans="1:12" x14ac:dyDescent="0.3">
      <c r="A154" s="5" t="s">
        <v>171</v>
      </c>
      <c r="C154" s="8">
        <f>Inputs!C62</f>
        <v>1.4999999999999999E-2</v>
      </c>
    </row>
    <row r="155" spans="1:12" x14ac:dyDescent="0.3">
      <c r="A155" s="5" t="s">
        <v>172</v>
      </c>
      <c r="C155" s="17">
        <f>L149*(1+C154)/(Inputs!$B$19-C154)</f>
        <v>-2429.772471064151</v>
      </c>
    </row>
    <row r="156" spans="1:12" x14ac:dyDescent="0.3">
      <c r="A156" s="5" t="s">
        <v>173</v>
      </c>
      <c r="C156" s="17">
        <f>C155*L151</f>
        <v>-1062.3545357712323</v>
      </c>
    </row>
    <row r="157" spans="1:12" x14ac:dyDescent="0.3">
      <c r="A157" s="5" t="s">
        <v>174</v>
      </c>
      <c r="C157" s="17">
        <f>SUM(D152:L152)</f>
        <v>323.58191653438894</v>
      </c>
    </row>
    <row r="158" spans="1:12" x14ac:dyDescent="0.3">
      <c r="A158" s="1" t="s">
        <v>11</v>
      </c>
      <c r="C158" s="23">
        <f>C156+C157</f>
        <v>-738.77261923684341</v>
      </c>
    </row>
    <row r="159" spans="1:12" x14ac:dyDescent="0.3">
      <c r="A159" s="5" t="s">
        <v>175</v>
      </c>
      <c r="C159" s="7">
        <f>Inputs!$B$9</f>
        <v>294.7</v>
      </c>
    </row>
    <row r="160" spans="1:12" x14ac:dyDescent="0.3">
      <c r="A160" s="5" t="s">
        <v>176</v>
      </c>
      <c r="C160" s="17">
        <f>C149*Inputs!$B$37</f>
        <v>191.64600000000002</v>
      </c>
    </row>
    <row r="161" spans="1:12" x14ac:dyDescent="0.3">
      <c r="A161" s="1" t="s">
        <v>177</v>
      </c>
      <c r="C161" s="23">
        <f>SUM(C158:C160)</f>
        <v>-252.42661923684341</v>
      </c>
    </row>
    <row r="162" spans="1:12" x14ac:dyDescent="0.3">
      <c r="A162" s="1" t="s">
        <v>12</v>
      </c>
      <c r="C162" s="10">
        <f>C161/Inputs!$B$6</f>
        <v>-6.8100094217725582</v>
      </c>
    </row>
    <row r="163" spans="1:12" x14ac:dyDescent="0.3">
      <c r="A163" s="5" t="s">
        <v>178</v>
      </c>
      <c r="C163" s="11">
        <f>C162/Inputs!$B$5-1</f>
        <v>-1.0321834093656548</v>
      </c>
    </row>
    <row r="164" spans="1:12" x14ac:dyDescent="0.3">
      <c r="A164" s="5" t="s">
        <v>14</v>
      </c>
      <c r="C164" s="11">
        <f>C156/C158</f>
        <v>1.4379993358019292</v>
      </c>
    </row>
    <row r="165" spans="1:12" x14ac:dyDescent="0.3">
      <c r="A165" s="5" t="s">
        <v>179</v>
      </c>
      <c r="C165" s="25">
        <f>Inputs!$B$18/D146</f>
        <v>17.982108719603367</v>
      </c>
    </row>
    <row r="166" spans="1:12" x14ac:dyDescent="0.3">
      <c r="A166" s="5" t="s">
        <v>180</v>
      </c>
      <c r="C166" s="26">
        <f>AVERAGE(D131:L131)</f>
        <v>0</v>
      </c>
    </row>
    <row r="169" spans="1:12" x14ac:dyDescent="0.3">
      <c r="A169" s="1" t="s">
        <v>183</v>
      </c>
    </row>
    <row r="170" spans="1:12" x14ac:dyDescent="0.3">
      <c r="A170" s="3" t="s">
        <v>123</v>
      </c>
      <c r="B170" s="4"/>
      <c r="C170" s="4" t="s">
        <v>84</v>
      </c>
      <c r="D170" s="4" t="s">
        <v>85</v>
      </c>
      <c r="E170" s="4" t="s">
        <v>86</v>
      </c>
      <c r="F170" s="4" t="s">
        <v>87</v>
      </c>
      <c r="G170" s="4" t="s">
        <v>88</v>
      </c>
      <c r="H170" s="4" t="s">
        <v>89</v>
      </c>
      <c r="I170" s="4" t="s">
        <v>90</v>
      </c>
      <c r="J170" s="4" t="s">
        <v>91</v>
      </c>
      <c r="K170" s="4" t="s">
        <v>92</v>
      </c>
      <c r="L170" s="4" t="s">
        <v>93</v>
      </c>
    </row>
    <row r="171" spans="1:12" x14ac:dyDescent="0.3">
      <c r="A171" s="5" t="s">
        <v>150</v>
      </c>
      <c r="C171" s="7">
        <f>Inputs!C$41</f>
        <v>644.70000000000005</v>
      </c>
      <c r="D171" s="7">
        <f>Inputs!D$41</f>
        <v>655</v>
      </c>
      <c r="E171" s="7">
        <f>Inputs!E$41</f>
        <v>603</v>
      </c>
      <c r="F171" s="7">
        <f>Inputs!F$41</f>
        <v>221.3</v>
      </c>
      <c r="G171" s="7">
        <f>Inputs!G$41</f>
        <v>73.8</v>
      </c>
      <c r="H171" s="7">
        <f>Inputs!H$41</f>
        <v>0</v>
      </c>
      <c r="I171" s="7">
        <f>Inputs!I$41</f>
        <v>0</v>
      </c>
      <c r="J171" s="7">
        <f>Inputs!J$41</f>
        <v>0</v>
      </c>
      <c r="K171" s="7">
        <f>Inputs!K$41</f>
        <v>0</v>
      </c>
      <c r="L171" s="7">
        <f>Inputs!L$41</f>
        <v>0</v>
      </c>
    </row>
    <row r="172" spans="1:12" x14ac:dyDescent="0.3">
      <c r="A172" s="5" t="s">
        <v>151</v>
      </c>
      <c r="C172" s="6">
        <f>Inputs!C65</f>
        <v>30</v>
      </c>
      <c r="D172" s="6">
        <f>Inputs!D65</f>
        <v>1</v>
      </c>
      <c r="E172" s="6">
        <f>Inputs!E65</f>
        <v>1</v>
      </c>
      <c r="F172" s="6">
        <f>Inputs!F65</f>
        <v>1</v>
      </c>
      <c r="G172" s="6">
        <f>Inputs!G65</f>
        <v>1</v>
      </c>
      <c r="H172" s="6">
        <f>Inputs!H65</f>
        <v>1</v>
      </c>
      <c r="I172" s="6">
        <f>Inputs!I65</f>
        <v>1</v>
      </c>
      <c r="J172" s="6">
        <f>Inputs!J65</f>
        <v>1</v>
      </c>
      <c r="K172" s="6">
        <f>Inputs!K65</f>
        <v>1</v>
      </c>
      <c r="L172" s="6">
        <f>Inputs!L65</f>
        <v>1</v>
      </c>
    </row>
    <row r="173" spans="1:12" x14ac:dyDescent="0.3">
      <c r="A173" s="5" t="s">
        <v>152</v>
      </c>
      <c r="C173" s="17">
        <f>Inputs!$B$22*(1+Inputs!$B$23)^(2026-2026)</f>
        <v>9.5</v>
      </c>
      <c r="D173" s="17">
        <f>Inputs!$B$22*(1+Inputs!$B$23)^(2027-2026)</f>
        <v>9.69</v>
      </c>
      <c r="E173" s="17">
        <f>Inputs!$B$22*(1+Inputs!$B$23)^(2028-2026)</f>
        <v>9.8838000000000008</v>
      </c>
      <c r="F173" s="17">
        <f>Inputs!$B$22*(1+Inputs!$B$23)^(2029-2026)</f>
        <v>10.081475999999999</v>
      </c>
      <c r="G173" s="17">
        <f>Inputs!$B$22*(1+Inputs!$B$23)^(2030-2026)</f>
        <v>10.283105519999999</v>
      </c>
      <c r="H173" s="17">
        <f>Inputs!$B$22*(1+Inputs!$B$23)^(2031-2026)</f>
        <v>10.4887676304</v>
      </c>
      <c r="I173" s="17">
        <f>Inputs!$B$22*(1+Inputs!$B$23)^(2032-2026)</f>
        <v>10.698542983008</v>
      </c>
      <c r="J173" s="17">
        <f>Inputs!$B$22*(1+Inputs!$B$23)^(2033-2026)</f>
        <v>10.912513842668158</v>
      </c>
      <c r="K173" s="17">
        <f>Inputs!$B$22*(1+Inputs!$B$23)^(2034-2026)</f>
        <v>11.130764119521523</v>
      </c>
      <c r="L173" s="17">
        <f>Inputs!$B$22*(1+Inputs!$B$23)^(2035-2026)</f>
        <v>11.353379401911953</v>
      </c>
    </row>
    <row r="174" spans="1:12" x14ac:dyDescent="0.3">
      <c r="A174" s="5" t="s">
        <v>153</v>
      </c>
      <c r="C174" s="17">
        <f t="shared" ref="C174:L174" si="36">C172*C173</f>
        <v>285</v>
      </c>
      <c r="D174" s="17">
        <f t="shared" si="36"/>
        <v>9.69</v>
      </c>
      <c r="E174" s="17">
        <f t="shared" si="36"/>
        <v>9.8838000000000008</v>
      </c>
      <c r="F174" s="17">
        <f t="shared" si="36"/>
        <v>10.081475999999999</v>
      </c>
      <c r="G174" s="17">
        <f t="shared" si="36"/>
        <v>10.283105519999999</v>
      </c>
      <c r="H174" s="17">
        <f t="shared" si="36"/>
        <v>10.4887676304</v>
      </c>
      <c r="I174" s="17">
        <f t="shared" si="36"/>
        <v>10.698542983008</v>
      </c>
      <c r="J174" s="17">
        <f t="shared" si="36"/>
        <v>10.912513842668158</v>
      </c>
      <c r="K174" s="17">
        <f t="shared" si="36"/>
        <v>11.130764119521523</v>
      </c>
      <c r="L174" s="17">
        <f t="shared" si="36"/>
        <v>11.353379401911953</v>
      </c>
    </row>
    <row r="175" spans="1:12" x14ac:dyDescent="0.3">
      <c r="A175" s="5" t="s">
        <v>154</v>
      </c>
      <c r="C175" s="17">
        <f>0</f>
        <v>0</v>
      </c>
      <c r="D175" s="17">
        <f>C174*Inputs!$B$24</f>
        <v>57</v>
      </c>
      <c r="E175" s="17">
        <f>D174*Inputs!$B$24+C174*Inputs!$B$25</f>
        <v>158.68799999999999</v>
      </c>
      <c r="F175" s="17">
        <f>E174*Inputs!$B$24+D174*Inputs!$B$25+C174*Inputs!$B$26</f>
        <v>78.556259999999995</v>
      </c>
      <c r="G175" s="17">
        <f>F174*Inputs!$B$24+E174*Inputs!$B$25+D174*Inputs!$B$26</f>
        <v>9.8748851999999996</v>
      </c>
      <c r="H175" s="17">
        <f>G174*Inputs!$B$24+F174*Inputs!$B$25+E174*Inputs!$B$26</f>
        <v>10.072382903999999</v>
      </c>
      <c r="I175" s="17">
        <f>H174*Inputs!$B$24+G174*Inputs!$B$25+F174*Inputs!$B$26</f>
        <v>10.273830562080001</v>
      </c>
      <c r="J175" s="17">
        <f>I174*Inputs!$B$24+H174*Inputs!$B$25+G174*Inputs!$B$26</f>
        <v>10.479307173321601</v>
      </c>
      <c r="K175" s="17">
        <f>J174*Inputs!$B$24+I174*Inputs!$B$25+H174*Inputs!$B$26</f>
        <v>10.688893316788031</v>
      </c>
      <c r="L175" s="17">
        <f>K174*Inputs!$B$24+J174*Inputs!$B$25+I174*Inputs!$B$26</f>
        <v>10.902671183123793</v>
      </c>
    </row>
    <row r="176" spans="1:12" x14ac:dyDescent="0.3">
      <c r="A176" s="5" t="s">
        <v>155</v>
      </c>
      <c r="C176" s="17">
        <f t="shared" ref="C176:L176" si="37">C171+C175</f>
        <v>644.70000000000005</v>
      </c>
      <c r="D176" s="17">
        <f t="shared" si="37"/>
        <v>712</v>
      </c>
      <c r="E176" s="17">
        <f t="shared" si="37"/>
        <v>761.68799999999999</v>
      </c>
      <c r="F176" s="17">
        <f t="shared" si="37"/>
        <v>299.85626000000002</v>
      </c>
      <c r="G176" s="17">
        <f t="shared" si="37"/>
        <v>83.674885199999991</v>
      </c>
      <c r="H176" s="17">
        <f t="shared" si="37"/>
        <v>10.072382903999999</v>
      </c>
      <c r="I176" s="17">
        <f t="shared" si="37"/>
        <v>10.273830562080001</v>
      </c>
      <c r="J176" s="17">
        <f t="shared" si="37"/>
        <v>10.479307173321601</v>
      </c>
      <c r="K176" s="17">
        <f t="shared" si="37"/>
        <v>10.688893316788031</v>
      </c>
      <c r="L176" s="17">
        <f t="shared" si="37"/>
        <v>10.902671183123793</v>
      </c>
    </row>
    <row r="177" spans="1:12" x14ac:dyDescent="0.3">
      <c r="A177" s="5" t="s">
        <v>156</v>
      </c>
      <c r="C177" s="7">
        <f>Inputs!$B$30</f>
        <v>70</v>
      </c>
      <c r="D177" s="17">
        <f>C177*(1+Inputs!$C$66)</f>
        <v>75.600000000000009</v>
      </c>
      <c r="E177" s="17">
        <f>D177*(1+Inputs!$C$66)</f>
        <v>81.64800000000001</v>
      </c>
      <c r="F177" s="17">
        <f>E177*(1+Inputs!$C$66)</f>
        <v>88.179840000000013</v>
      </c>
      <c r="G177" s="17">
        <f>F177*(1+Inputs!$C$66)</f>
        <v>95.234227200000021</v>
      </c>
      <c r="H177" s="17">
        <f>G177*(1+Inputs!$C$66)</f>
        <v>102.85296537600003</v>
      </c>
      <c r="I177" s="17">
        <f>H177*(1+Inputs!$C$66)</f>
        <v>111.08120260608004</v>
      </c>
      <c r="J177" s="17">
        <f>I177*(1+Inputs!$C$66)</f>
        <v>119.96769881456645</v>
      </c>
      <c r="K177" s="17">
        <f>J177*(1+Inputs!$C$66)</f>
        <v>129.56511471973178</v>
      </c>
      <c r="L177" s="17">
        <f>K177*(1+Inputs!$C$66)</f>
        <v>139.93032389731033</v>
      </c>
    </row>
    <row r="178" spans="1:12" x14ac:dyDescent="0.3">
      <c r="A178" s="5" t="s">
        <v>157</v>
      </c>
      <c r="C178" s="17">
        <f>Inputs!$B$32*(1+Inputs!$B$33)^(2026-2026)</f>
        <v>22</v>
      </c>
      <c r="D178" s="17">
        <f>Inputs!$B$32*(1+Inputs!$B$33)^(2027-2026)</f>
        <v>22.44</v>
      </c>
      <c r="E178" s="17">
        <f>Inputs!$B$32*(1+Inputs!$B$33)^(2028-2026)</f>
        <v>22.8888</v>
      </c>
      <c r="F178" s="17">
        <f>Inputs!$B$32*(1+Inputs!$B$33)^(2029-2026)</f>
        <v>23.346575999999999</v>
      </c>
      <c r="G178" s="17">
        <f>Inputs!$B$32*(1+Inputs!$B$33)^(2030-2026)</f>
        <v>23.813507519999998</v>
      </c>
      <c r="H178" s="17">
        <f>Inputs!$B$32*(1+Inputs!$B$33)^(2031-2026)</f>
        <v>24.289777670399999</v>
      </c>
      <c r="I178" s="17">
        <f>Inputs!$B$32*(1+Inputs!$B$33)^(2032-2026)</f>
        <v>24.775573223808003</v>
      </c>
      <c r="J178" s="17">
        <f>Inputs!$B$32*(1+Inputs!$B$33)^(2033-2026)</f>
        <v>25.271084688284155</v>
      </c>
      <c r="K178" s="17">
        <f>Inputs!$B$32*(1+Inputs!$B$33)^(2034-2026)</f>
        <v>25.776506382049842</v>
      </c>
      <c r="L178" s="17">
        <f>Inputs!$B$32*(1+Inputs!$B$33)^(2035-2026)</f>
        <v>26.292036509690838</v>
      </c>
    </row>
    <row r="179" spans="1:12" x14ac:dyDescent="0.3">
      <c r="A179" s="1" t="s">
        <v>158</v>
      </c>
      <c r="C179" s="23">
        <f t="shared" ref="C179:L179" si="38">C176+C177+C178</f>
        <v>736.7</v>
      </c>
      <c r="D179" s="23">
        <f t="shared" si="38"/>
        <v>810.04000000000008</v>
      </c>
      <c r="E179" s="23">
        <f t="shared" si="38"/>
        <v>866.22479999999996</v>
      </c>
      <c r="F179" s="23">
        <f t="shared" si="38"/>
        <v>411.38267600000006</v>
      </c>
      <c r="G179" s="23">
        <f t="shared" si="38"/>
        <v>202.72261992000003</v>
      </c>
      <c r="H179" s="23">
        <f t="shared" si="38"/>
        <v>137.21512595040002</v>
      </c>
      <c r="I179" s="23">
        <f t="shared" si="38"/>
        <v>146.13060639196806</v>
      </c>
      <c r="J179" s="23">
        <f t="shared" si="38"/>
        <v>155.71809067617221</v>
      </c>
      <c r="K179" s="23">
        <f t="shared" si="38"/>
        <v>166.03051441856965</v>
      </c>
      <c r="L179" s="23">
        <f t="shared" si="38"/>
        <v>177.12503159012496</v>
      </c>
    </row>
    <row r="180" spans="1:12" x14ac:dyDescent="0.3">
      <c r="A180" s="5" t="s">
        <v>159</v>
      </c>
      <c r="C180" s="17">
        <f>-Inputs!$B$28*(1+Inputs!$B$29)^(2026-2026)</f>
        <v>-193</v>
      </c>
      <c r="D180" s="17">
        <f>-Inputs!$B$28*(1+Inputs!$B$29)^(2027-2026)</f>
        <v>-198.79</v>
      </c>
      <c r="E180" s="17">
        <f>-Inputs!$B$28*(1+Inputs!$B$29)^(2028-2026)</f>
        <v>-204.75369999999998</v>
      </c>
      <c r="F180" s="17">
        <f>-Inputs!$B$28*(1+Inputs!$B$29)^(2029-2026)</f>
        <v>-210.896311</v>
      </c>
      <c r="G180" s="17">
        <f>-Inputs!$B$28*(1+Inputs!$B$29)^(2030-2026)</f>
        <v>-217.22320033</v>
      </c>
      <c r="H180" s="17">
        <f>-Inputs!$B$28*(1+Inputs!$B$29)^(2031-2026)</f>
        <v>-223.73989633989996</v>
      </c>
      <c r="I180" s="17">
        <f>-Inputs!$B$28*(1+Inputs!$B$29)^(2032-2026)</f>
        <v>-230.45209323009698</v>
      </c>
      <c r="J180" s="17">
        <f>-Inputs!$B$28*(1+Inputs!$B$29)^(2033-2026)</f>
        <v>-237.36565602699991</v>
      </c>
      <c r="K180" s="17">
        <f>-Inputs!$B$28*(1+Inputs!$B$29)^(2034-2026)</f>
        <v>-244.48662570780988</v>
      </c>
      <c r="L180" s="17">
        <f>-Inputs!$B$28*(1+Inputs!$B$29)^(2035-2026)</f>
        <v>-251.82122447904419</v>
      </c>
    </row>
    <row r="181" spans="1:12" x14ac:dyDescent="0.3">
      <c r="A181" s="5" t="s">
        <v>160</v>
      </c>
      <c r="C181" s="17">
        <f>-C177*(1-Inputs!$B$31)</f>
        <v>-57.400000000000006</v>
      </c>
      <c r="D181" s="17">
        <f>-D177*(1-Inputs!$B$31)</f>
        <v>-61.992000000000012</v>
      </c>
      <c r="E181" s="17">
        <f>-E177*(1-Inputs!$B$31)</f>
        <v>-66.951360000000008</v>
      </c>
      <c r="F181" s="17">
        <f>-F177*(1-Inputs!$B$31)</f>
        <v>-72.307468800000009</v>
      </c>
      <c r="G181" s="17">
        <f>-G177*(1-Inputs!$B$31)</f>
        <v>-78.092066304000028</v>
      </c>
      <c r="H181" s="17">
        <f>-H177*(1-Inputs!$B$31)</f>
        <v>-84.339431608320027</v>
      </c>
      <c r="I181" s="17">
        <f>-I177*(1-Inputs!$B$31)</f>
        <v>-91.086586136985645</v>
      </c>
      <c r="J181" s="17">
        <f>-J177*(1-Inputs!$B$31)</f>
        <v>-98.373513027944497</v>
      </c>
      <c r="K181" s="17">
        <f>-K177*(1-Inputs!$B$31)</f>
        <v>-106.24339407018007</v>
      </c>
      <c r="L181" s="17">
        <f>-L177*(1-Inputs!$B$31)</f>
        <v>-114.74286559579448</v>
      </c>
    </row>
    <row r="182" spans="1:12" x14ac:dyDescent="0.3">
      <c r="A182" s="1" t="s">
        <v>132</v>
      </c>
      <c r="C182" s="23">
        <f t="shared" ref="C182:L182" si="39">C179+C180+C181</f>
        <v>486.30000000000007</v>
      </c>
      <c r="D182" s="23">
        <f t="shared" si="39"/>
        <v>549.25800000000015</v>
      </c>
      <c r="E182" s="23">
        <f t="shared" si="39"/>
        <v>594.51973999999996</v>
      </c>
      <c r="F182" s="23">
        <f t="shared" si="39"/>
        <v>128.17889620000005</v>
      </c>
      <c r="G182" s="23">
        <f t="shared" si="39"/>
        <v>-92.592646713999997</v>
      </c>
      <c r="H182" s="23">
        <f t="shared" si="39"/>
        <v>-170.86420199781998</v>
      </c>
      <c r="I182" s="23">
        <f t="shared" si="39"/>
        <v>-175.40807297511458</v>
      </c>
      <c r="J182" s="23">
        <f t="shared" si="39"/>
        <v>-180.02107837877219</v>
      </c>
      <c r="K182" s="23">
        <f t="shared" si="39"/>
        <v>-184.6995053594203</v>
      </c>
      <c r="L182" s="23">
        <f t="shared" si="39"/>
        <v>-189.43905848471371</v>
      </c>
    </row>
    <row r="183" spans="1:12" x14ac:dyDescent="0.3">
      <c r="A183" s="5" t="s">
        <v>137</v>
      </c>
      <c r="C183" s="11">
        <f t="shared" ref="C183:L183" si="40">C182/C179</f>
        <v>0.66010587756210126</v>
      </c>
      <c r="D183" s="11">
        <f t="shared" si="40"/>
        <v>0.67806281171300198</v>
      </c>
      <c r="E183" s="11">
        <f t="shared" si="40"/>
        <v>0.68633424025726342</v>
      </c>
      <c r="F183" s="11">
        <f t="shared" si="40"/>
        <v>0.31158068552210993</v>
      </c>
      <c r="G183" s="11">
        <f t="shared" si="40"/>
        <v>-0.45674551143103631</v>
      </c>
      <c r="H183" s="11">
        <f t="shared" si="40"/>
        <v>-1.245228620491762</v>
      </c>
      <c r="I183" s="11">
        <f t="shared" si="40"/>
        <v>-1.2003513658501845</v>
      </c>
      <c r="J183" s="11">
        <f t="shared" si="40"/>
        <v>-1.156070419288276</v>
      </c>
      <c r="K183" s="11">
        <f t="shared" si="40"/>
        <v>-1.1124431313498515</v>
      </c>
      <c r="L183" s="11">
        <f t="shared" si="40"/>
        <v>-1.0695216637876681</v>
      </c>
    </row>
    <row r="184" spans="1:12" x14ac:dyDescent="0.3">
      <c r="A184" s="5" t="s">
        <v>161</v>
      </c>
      <c r="C184" s="7">
        <f>-Inputs!$B$34</f>
        <v>-30</v>
      </c>
      <c r="D184" s="7">
        <f>-Inputs!$B$34</f>
        <v>-30</v>
      </c>
      <c r="E184" s="7">
        <f>-Inputs!$B$34</f>
        <v>-30</v>
      </c>
      <c r="F184" s="7">
        <f>-Inputs!$B$34</f>
        <v>-30</v>
      </c>
      <c r="G184" s="7">
        <f>-Inputs!$B$34</f>
        <v>-30</v>
      </c>
      <c r="H184" s="7">
        <f>-Inputs!$B$34</f>
        <v>-30</v>
      </c>
      <c r="I184" s="7">
        <f>-Inputs!$B$34</f>
        <v>-30</v>
      </c>
      <c r="J184" s="7">
        <f>-Inputs!$B$34</f>
        <v>-30</v>
      </c>
      <c r="K184" s="7">
        <f>-Inputs!$B$34</f>
        <v>-30</v>
      </c>
      <c r="L184" s="7">
        <f>-Inputs!$B$34</f>
        <v>-30</v>
      </c>
    </row>
    <row r="185" spans="1:12" x14ac:dyDescent="0.3">
      <c r="A185" s="5" t="s">
        <v>162</v>
      </c>
      <c r="C185" s="17">
        <f t="shared" ref="C185:L185" si="41">C182+C184</f>
        <v>456.30000000000007</v>
      </c>
      <c r="D185" s="17">
        <f t="shared" si="41"/>
        <v>519.25800000000015</v>
      </c>
      <c r="E185" s="17">
        <f t="shared" si="41"/>
        <v>564.51973999999996</v>
      </c>
      <c r="F185" s="17">
        <f t="shared" si="41"/>
        <v>98.178896200000054</v>
      </c>
      <c r="G185" s="17">
        <f t="shared" si="41"/>
        <v>-122.592646714</v>
      </c>
      <c r="H185" s="17">
        <f t="shared" si="41"/>
        <v>-200.86420199781998</v>
      </c>
      <c r="I185" s="17">
        <f t="shared" si="41"/>
        <v>-205.40807297511458</v>
      </c>
      <c r="J185" s="17">
        <f t="shared" si="41"/>
        <v>-210.02107837877219</v>
      </c>
      <c r="K185" s="17">
        <f t="shared" si="41"/>
        <v>-214.6995053594203</v>
      </c>
      <c r="L185" s="17">
        <f t="shared" si="41"/>
        <v>-219.43905848471371</v>
      </c>
    </row>
    <row r="186" spans="1:12" x14ac:dyDescent="0.3">
      <c r="A186" s="5" t="s">
        <v>163</v>
      </c>
      <c r="C186" s="17">
        <f>-C185*Inputs!$B$17</f>
        <v>-73.00800000000001</v>
      </c>
      <c r="D186" s="17">
        <f>-D185*Inputs!$B$17</f>
        <v>-83.081280000000021</v>
      </c>
      <c r="E186" s="17">
        <f>-E185*Inputs!$B$17</f>
        <v>-90.323158399999997</v>
      </c>
      <c r="F186" s="17">
        <f>-F185*Inputs!$B$17</f>
        <v>-15.708623392000009</v>
      </c>
      <c r="G186" s="17">
        <f>-G185*Inputs!$B$17</f>
        <v>19.614823474240001</v>
      </c>
      <c r="H186" s="17">
        <f>-H185*Inputs!$B$17</f>
        <v>32.138272319651193</v>
      </c>
      <c r="I186" s="17">
        <f>-I185*Inputs!$B$17</f>
        <v>32.86529167601833</v>
      </c>
      <c r="J186" s="17">
        <f>-J185*Inputs!$B$17</f>
        <v>33.603372540603551</v>
      </c>
      <c r="K186" s="17">
        <f>-K185*Inputs!$B$17</f>
        <v>34.351920857507245</v>
      </c>
      <c r="L186" s="17">
        <f>-L185*Inputs!$B$17</f>
        <v>35.110249357554196</v>
      </c>
    </row>
    <row r="187" spans="1:12" x14ac:dyDescent="0.3">
      <c r="A187" s="5" t="s">
        <v>164</v>
      </c>
      <c r="C187" s="17">
        <f t="shared" ref="C187:L187" si="42">C185+C186</f>
        <v>383.29200000000003</v>
      </c>
      <c r="D187" s="17">
        <f t="shared" si="42"/>
        <v>436.17672000000016</v>
      </c>
      <c r="E187" s="17">
        <f t="shared" si="42"/>
        <v>474.19658159999994</v>
      </c>
      <c r="F187" s="17">
        <f t="shared" si="42"/>
        <v>82.470272808000047</v>
      </c>
      <c r="G187" s="17">
        <f t="shared" si="42"/>
        <v>-102.97782323976</v>
      </c>
      <c r="H187" s="17">
        <f t="shared" si="42"/>
        <v>-168.72592967816877</v>
      </c>
      <c r="I187" s="17">
        <f t="shared" si="42"/>
        <v>-172.54278129909625</v>
      </c>
      <c r="J187" s="17">
        <f t="shared" si="42"/>
        <v>-176.41770583816864</v>
      </c>
      <c r="K187" s="17">
        <f t="shared" si="42"/>
        <v>-180.34758450191305</v>
      </c>
      <c r="L187" s="17">
        <f t="shared" si="42"/>
        <v>-184.3288091271595</v>
      </c>
    </row>
    <row r="188" spans="1:12" x14ac:dyDescent="0.3">
      <c r="A188" s="5" t="s">
        <v>165</v>
      </c>
      <c r="C188" s="7">
        <f>-Inputs!$B$35</f>
        <v>-30</v>
      </c>
      <c r="D188" s="7">
        <f>-Inputs!$B$35</f>
        <v>-30</v>
      </c>
      <c r="E188" s="7">
        <f>-Inputs!$B$35</f>
        <v>-30</v>
      </c>
      <c r="F188" s="7">
        <f>-Inputs!$B$35</f>
        <v>-30</v>
      </c>
      <c r="G188" s="7">
        <f>-Inputs!$B$35</f>
        <v>-30</v>
      </c>
      <c r="H188" s="7">
        <f>-Inputs!$B$35</f>
        <v>-30</v>
      </c>
      <c r="I188" s="7">
        <f>-Inputs!$B$35</f>
        <v>-30</v>
      </c>
      <c r="J188" s="7">
        <f>-Inputs!$B$35</f>
        <v>-30</v>
      </c>
      <c r="K188" s="7">
        <f>-Inputs!$B$35</f>
        <v>-30</v>
      </c>
      <c r="L188" s="7">
        <f>-Inputs!$B$35</f>
        <v>-30</v>
      </c>
    </row>
    <row r="189" spans="1:12" x14ac:dyDescent="0.3">
      <c r="A189" s="5" t="s">
        <v>166</v>
      </c>
      <c r="C189" s="17">
        <f>0</f>
        <v>0</v>
      </c>
      <c r="D189" s="17">
        <f>-Inputs!$B$36*(D179-C179)</f>
        <v>-7.3340000000000032</v>
      </c>
      <c r="E189" s="17">
        <f>-Inputs!$B$36*(E179-D179)</f>
        <v>-5.6184799999999884</v>
      </c>
      <c r="F189" s="17">
        <f>-Inputs!$B$36*(F179-E179)</f>
        <v>45.48421239999999</v>
      </c>
      <c r="G189" s="17">
        <f>-Inputs!$B$36*(G179-F179)</f>
        <v>20.866005608000005</v>
      </c>
      <c r="H189" s="17">
        <f>-Inputs!$B$36*(H179-G179)</f>
        <v>6.5507493969600006</v>
      </c>
      <c r="I189" s="17">
        <f>-Inputs!$B$36*(I179-H179)</f>
        <v>-0.89154804415680367</v>
      </c>
      <c r="J189" s="17">
        <f>-Inputs!$B$36*(J179-I179)</f>
        <v>-0.95874842842041519</v>
      </c>
      <c r="K189" s="17">
        <f>-Inputs!$B$36*(K179-J179)</f>
        <v>-1.0312423742397443</v>
      </c>
      <c r="L189" s="17">
        <f>-Inputs!$B$36*(L179-K179)</f>
        <v>-1.1094517171555311</v>
      </c>
    </row>
    <row r="190" spans="1:12" x14ac:dyDescent="0.3">
      <c r="A190" s="1" t="s">
        <v>167</v>
      </c>
      <c r="C190" s="23">
        <f t="shared" ref="C190:L190" si="43">C187-C184+C188+C189</f>
        <v>383.29200000000003</v>
      </c>
      <c r="D190" s="23">
        <f t="shared" si="43"/>
        <v>428.84272000000016</v>
      </c>
      <c r="E190" s="23">
        <f t="shared" si="43"/>
        <v>468.57810159999997</v>
      </c>
      <c r="F190" s="23">
        <f t="shared" si="43"/>
        <v>127.95448520800004</v>
      </c>
      <c r="G190" s="23">
        <f t="shared" si="43"/>
        <v>-82.11181763175999</v>
      </c>
      <c r="H190" s="23">
        <f t="shared" si="43"/>
        <v>-162.17518028120878</v>
      </c>
      <c r="I190" s="23">
        <f t="shared" si="43"/>
        <v>-173.43432934325304</v>
      </c>
      <c r="J190" s="23">
        <f t="shared" si="43"/>
        <v>-177.37645426658906</v>
      </c>
      <c r="K190" s="23">
        <f t="shared" si="43"/>
        <v>-181.3788268761528</v>
      </c>
      <c r="L190" s="23">
        <f t="shared" si="43"/>
        <v>-185.43826084431504</v>
      </c>
    </row>
    <row r="191" spans="1:12" x14ac:dyDescent="0.3">
      <c r="A191" s="5" t="s">
        <v>168</v>
      </c>
      <c r="D191" s="21">
        <v>1</v>
      </c>
      <c r="E191" s="21">
        <v>2</v>
      </c>
      <c r="F191" s="21">
        <v>3</v>
      </c>
      <c r="G191" s="21">
        <v>4</v>
      </c>
      <c r="H191" s="21">
        <v>5</v>
      </c>
      <c r="I191" s="21">
        <v>6</v>
      </c>
      <c r="J191" s="21">
        <v>7</v>
      </c>
      <c r="K191" s="21">
        <v>8</v>
      </c>
      <c r="L191" s="21">
        <v>9</v>
      </c>
    </row>
    <row r="192" spans="1:12" x14ac:dyDescent="0.3">
      <c r="A192" s="5" t="s">
        <v>169</v>
      </c>
      <c r="D192" s="24">
        <f>1/(1+Inputs!$B$19)^D191</f>
        <v>0.91217508892982213</v>
      </c>
      <c r="E192" s="24">
        <f>1/(1+Inputs!$B$19)^E191</f>
        <v>0.83206339286412889</v>
      </c>
      <c r="F192" s="24">
        <f>1/(1+Inputs!$B$19)^F191</f>
        <v>0.75898749938108623</v>
      </c>
      <c r="G192" s="24">
        <f>1/(1+Inputs!$B$19)^G191</f>
        <v>0.69232948974456576</v>
      </c>
      <c r="H192" s="24">
        <f>1/(1+Inputs!$B$19)^H191</f>
        <v>0.63152571387648759</v>
      </c>
      <c r="I192" s="24">
        <f>1/(1+Inputs!$B$19)^I191</f>
        <v>0.57606202421675456</v>
      </c>
      <c r="J192" s="24">
        <f>1/(1+Inputs!$B$19)^J191</f>
        <v>0.52546942816901132</v>
      </c>
      <c r="K192" s="24">
        <f>1/(1+Inputs!$B$19)^K191</f>
        <v>0.47932012236997068</v>
      </c>
      <c r="L192" s="24">
        <f>1/(1+Inputs!$B$19)^L191</f>
        <v>0.43722387524868123</v>
      </c>
    </row>
    <row r="193" spans="1:12" x14ac:dyDescent="0.3">
      <c r="A193" s="5" t="s">
        <v>170</v>
      </c>
      <c r="D193" s="17">
        <f t="shared" ref="D193:L193" si="44">D190*D192</f>
        <v>391.17964625290693</v>
      </c>
      <c r="E193" s="17">
        <f t="shared" si="44"/>
        <v>389.88668503912845</v>
      </c>
      <c r="F193" s="17">
        <f t="shared" si="44"/>
        <v>97.115854762614134</v>
      </c>
      <c r="G193" s="17">
        <f t="shared" si="44"/>
        <v>-56.848432802995234</v>
      </c>
      <c r="H193" s="17">
        <f t="shared" si="44"/>
        <v>-102.41779650013845</v>
      </c>
      <c r="I193" s="17">
        <f t="shared" si="44"/>
        <v>-99.908930830149615</v>
      </c>
      <c r="J193" s="17">
        <f t="shared" si="44"/>
        <v>-93.205903994111338</v>
      </c>
      <c r="K193" s="17">
        <f t="shared" si="44"/>
        <v>-86.938521493599282</v>
      </c>
      <c r="L193" s="17">
        <f t="shared" si="44"/>
        <v>-81.078035025727203</v>
      </c>
    </row>
    <row r="195" spans="1:12" x14ac:dyDescent="0.3">
      <c r="A195" s="5" t="s">
        <v>171</v>
      </c>
      <c r="C195" s="8">
        <f>Inputs!C67</f>
        <v>1.4999999999999999E-2</v>
      </c>
    </row>
    <row r="196" spans="1:12" x14ac:dyDescent="0.3">
      <c r="A196" s="5" t="s">
        <v>172</v>
      </c>
      <c r="C196" s="17">
        <f>L190*(1+C195)/(Inputs!$B$19-C195)</f>
        <v>-2315.6751254511328</v>
      </c>
    </row>
    <row r="197" spans="1:12" x14ac:dyDescent="0.3">
      <c r="A197" s="5" t="s">
        <v>173</v>
      </c>
      <c r="C197" s="17">
        <f>C196*L192</f>
        <v>-1012.4684521667203</v>
      </c>
    </row>
    <row r="198" spans="1:12" x14ac:dyDescent="0.3">
      <c r="A198" s="5" t="s">
        <v>174</v>
      </c>
      <c r="C198" s="17">
        <f>SUM(D193:L193)</f>
        <v>357.78456540792831</v>
      </c>
    </row>
    <row r="199" spans="1:12" x14ac:dyDescent="0.3">
      <c r="A199" s="1" t="s">
        <v>11</v>
      </c>
      <c r="C199" s="23">
        <f>C197+C198</f>
        <v>-654.68388675879203</v>
      </c>
    </row>
    <row r="200" spans="1:12" x14ac:dyDescent="0.3">
      <c r="A200" s="5" t="s">
        <v>175</v>
      </c>
      <c r="C200" s="7">
        <f>Inputs!$B$9</f>
        <v>294.7</v>
      </c>
    </row>
    <row r="201" spans="1:12" x14ac:dyDescent="0.3">
      <c r="A201" s="5" t="s">
        <v>176</v>
      </c>
      <c r="C201" s="17">
        <f>C190*Inputs!$B$37</f>
        <v>191.64600000000002</v>
      </c>
    </row>
    <row r="202" spans="1:12" x14ac:dyDescent="0.3">
      <c r="A202" s="1" t="s">
        <v>177</v>
      </c>
      <c r="C202" s="23">
        <f>SUM(C199:C201)</f>
        <v>-168.33788675879202</v>
      </c>
    </row>
    <row r="203" spans="1:12" x14ac:dyDescent="0.3">
      <c r="A203" s="1" t="s">
        <v>12</v>
      </c>
      <c r="C203" s="10">
        <f>C202/Inputs!$B$6</f>
        <v>-4.5414489103189366</v>
      </c>
    </row>
    <row r="204" spans="1:12" x14ac:dyDescent="0.3">
      <c r="A204" s="5" t="s">
        <v>178</v>
      </c>
      <c r="C204" s="11">
        <f>C203/Inputs!$B$5-1</f>
        <v>-1.0214624239618098</v>
      </c>
    </row>
    <row r="205" spans="1:12" x14ac:dyDescent="0.3">
      <c r="A205" s="5" t="s">
        <v>14</v>
      </c>
      <c r="C205" s="11">
        <f>C197/C199</f>
        <v>1.5464997270350545</v>
      </c>
    </row>
    <row r="206" spans="1:12" x14ac:dyDescent="0.3">
      <c r="A206" s="5" t="s">
        <v>179</v>
      </c>
      <c r="C206" s="25">
        <f>Inputs!$B$18/D187</f>
        <v>17.982108719603367</v>
      </c>
    </row>
    <row r="207" spans="1:12" x14ac:dyDescent="0.3">
      <c r="A207" s="5" t="s">
        <v>180</v>
      </c>
      <c r="C207" s="26">
        <f>AVERAGE(D172:L172)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showGridLines="0" workbookViewId="0"/>
  </sheetViews>
  <sheetFormatPr baseColWidth="10" defaultColWidth="8.88671875" defaultRowHeight="14.4" x14ac:dyDescent="0.3"/>
  <cols>
    <col min="1" max="1" width="50" customWidth="1"/>
    <col min="2" max="12" width="10" customWidth="1"/>
  </cols>
  <sheetData>
    <row r="1" spans="1:11" x14ac:dyDescent="0.3">
      <c r="A1" s="1" t="s">
        <v>184</v>
      </c>
    </row>
    <row r="2" spans="1:11" x14ac:dyDescent="0.3">
      <c r="A2" s="2" t="s">
        <v>185</v>
      </c>
    </row>
    <row r="4" spans="1:11" x14ac:dyDescent="0.3">
      <c r="A4" s="5" t="s">
        <v>186</v>
      </c>
      <c r="C4" s="7">
        <f>Inputs!B18</f>
        <v>7843.3771999999999</v>
      </c>
    </row>
    <row r="5" spans="1:11" x14ac:dyDescent="0.3">
      <c r="A5" s="5" t="s">
        <v>187</v>
      </c>
      <c r="C5" s="7">
        <f>DCF!C161</f>
        <v>-252.42661923684341</v>
      </c>
    </row>
    <row r="6" spans="1:11" x14ac:dyDescent="0.3">
      <c r="A6" s="5" t="s">
        <v>188</v>
      </c>
      <c r="C6" s="17">
        <f>DCF!C202-DCF!C161</f>
        <v>84.088732478051384</v>
      </c>
    </row>
    <row r="7" spans="1:11" x14ac:dyDescent="0.3">
      <c r="A7" s="1" t="s">
        <v>189</v>
      </c>
      <c r="C7" s="27">
        <f>(C4-C5)/C6</f>
        <v>96.276915832332094</v>
      </c>
    </row>
    <row r="8" spans="1:11" x14ac:dyDescent="0.3">
      <c r="A8" s="5" t="s">
        <v>190</v>
      </c>
      <c r="C8" s="6">
        <f>Inputs!D50</f>
        <v>60</v>
      </c>
    </row>
    <row r="9" spans="1:11" x14ac:dyDescent="0.3">
      <c r="A9" s="5" t="s">
        <v>191</v>
      </c>
      <c r="C9" s="21">
        <v>60</v>
      </c>
    </row>
    <row r="12" spans="1:11" x14ac:dyDescent="0.3">
      <c r="A12" s="1" t="s">
        <v>192</v>
      </c>
    </row>
    <row r="13" spans="1:11" x14ac:dyDescent="0.3">
      <c r="A13" s="3"/>
      <c r="B13" s="4"/>
      <c r="C13" s="4" t="s">
        <v>85</v>
      </c>
      <c r="D13" s="4" t="s">
        <v>86</v>
      </c>
      <c r="E13" s="4" t="s">
        <v>87</v>
      </c>
      <c r="F13" s="4" t="s">
        <v>88</v>
      </c>
      <c r="G13" s="4" t="s">
        <v>89</v>
      </c>
      <c r="H13" s="4" t="s">
        <v>90</v>
      </c>
      <c r="I13" s="4" t="s">
        <v>91</v>
      </c>
      <c r="J13" s="4" t="s">
        <v>92</v>
      </c>
      <c r="K13" s="4" t="s">
        <v>93</v>
      </c>
    </row>
    <row r="14" spans="1:11" x14ac:dyDescent="0.3">
      <c r="A14" s="5" t="s">
        <v>193</v>
      </c>
      <c r="C14" s="7">
        <f>DCF!D149</f>
        <v>428.84272000000016</v>
      </c>
      <c r="D14" s="7">
        <f>DCF!E149</f>
        <v>467.14398160000002</v>
      </c>
      <c r="E14" s="7">
        <f>DCF!F149</f>
        <v>122.35405280800001</v>
      </c>
      <c r="F14" s="7">
        <f>DCF!G149</f>
        <v>-90.149858679760015</v>
      </c>
      <c r="G14" s="7">
        <f>DCF!H149</f>
        <v>-170.61623215016877</v>
      </c>
      <c r="H14" s="7">
        <f>DCF!I149</f>
        <v>-182.04420224959222</v>
      </c>
      <c r="I14" s="7">
        <f>DCF!J149</f>
        <v>-186.15852463105503</v>
      </c>
      <c r="J14" s="7">
        <f>DCF!K149</f>
        <v>-190.3365386479081</v>
      </c>
      <c r="K14" s="7">
        <f>DCF!L149</f>
        <v>-194.57512685150544</v>
      </c>
    </row>
    <row r="15" spans="1:11" x14ac:dyDescent="0.3">
      <c r="A15" s="5" t="s">
        <v>194</v>
      </c>
      <c r="C15" s="17">
        <f>DCF!D190-DCF!D149</f>
        <v>0</v>
      </c>
      <c r="D15" s="17">
        <f>DCF!E190-DCF!E149</f>
        <v>1.4341199999999503</v>
      </c>
      <c r="E15" s="17">
        <f>DCF!F190-DCF!F149</f>
        <v>5.600432400000031</v>
      </c>
      <c r="F15" s="17">
        <f>DCF!G190-DCF!G149</f>
        <v>8.0380410480000251</v>
      </c>
      <c r="G15" s="17">
        <f>DCF!H190-DCF!H149</f>
        <v>8.4410518689599883</v>
      </c>
      <c r="H15" s="17">
        <f>DCF!I190-DCF!I149</f>
        <v>8.6098729063391772</v>
      </c>
      <c r="I15" s="17">
        <f>DCF!J190-DCF!J149</f>
        <v>8.7820703644659659</v>
      </c>
      <c r="J15" s="17">
        <f>DCF!K190-DCF!K149</f>
        <v>8.9577117717552994</v>
      </c>
      <c r="K15" s="17">
        <f>DCF!L190-DCF!L149</f>
        <v>9.136866007190406</v>
      </c>
    </row>
    <row r="16" spans="1:11" x14ac:dyDescent="0.3">
      <c r="A16" s="5" t="s">
        <v>195</v>
      </c>
      <c r="C16" s="21">
        <v>1</v>
      </c>
      <c r="D16" s="21">
        <v>2</v>
      </c>
      <c r="E16" s="21">
        <v>3</v>
      </c>
      <c r="F16" s="21">
        <v>4</v>
      </c>
      <c r="G16" s="21">
        <v>5</v>
      </c>
      <c r="H16" s="21">
        <v>6</v>
      </c>
      <c r="I16" s="21">
        <v>7</v>
      </c>
      <c r="J16" s="21">
        <v>8</v>
      </c>
      <c r="K16" s="21">
        <v>9</v>
      </c>
    </row>
    <row r="19" spans="1:9" x14ac:dyDescent="0.3">
      <c r="A19" s="1" t="s">
        <v>196</v>
      </c>
    </row>
    <row r="20" spans="1:9" x14ac:dyDescent="0.3">
      <c r="A20" s="3" t="s">
        <v>197</v>
      </c>
      <c r="B20" s="4"/>
      <c r="C20" s="28">
        <v>30</v>
      </c>
      <c r="D20" s="28">
        <v>40</v>
      </c>
      <c r="E20" s="28">
        <v>50</v>
      </c>
      <c r="F20" s="28">
        <v>60</v>
      </c>
      <c r="G20" s="28">
        <v>70</v>
      </c>
      <c r="H20" s="28">
        <v>80</v>
      </c>
      <c r="I20" s="28">
        <v>90</v>
      </c>
    </row>
    <row r="21" spans="1:9" x14ac:dyDescent="0.3">
      <c r="A21" s="29">
        <v>7.4999999999999997E-2</v>
      </c>
      <c r="C21" s="30">
        <f>(SUMPRODUCT(($C$14:$K$14+C$20*$C$15:$K$15)/(1+$A21)^$C$16:$K$16)+($K$14+C$20*$K$15)*(1+Inputs!$C$52)/($A21-Inputs!$C$52)/(1+$A21)^$K$16+(Inputs!$B$9+DCF!C160))/Inputs!$B$6</f>
        <v>70.527837409145263</v>
      </c>
      <c r="D21" s="30">
        <f>(SUMPRODUCT(($C$14:$K$14+D$20*$C$15:$K$15)/(1+$A21)^$C$16:$K$16)+($K$14+D$20*$K$15)*(1+Inputs!$C$52)/($A21-Inputs!$C$52)/(1+$A21)^$K$16+(Inputs!$B$9+DCF!C160))/Inputs!$B$6</f>
        <v>102.61216017934501</v>
      </c>
      <c r="E21" s="30">
        <f>(SUMPRODUCT(($C$14:$K$14+E$20*$C$15:$K$15)/(1+$A21)^$C$16:$K$16)+($K$14+E$20*$K$15)*(1+Inputs!$C$52)/($A21-Inputs!$C$52)/(1+$A21)^$K$16+(Inputs!$B$9+DCF!C160))/Inputs!$B$6</f>
        <v>134.69648294954479</v>
      </c>
      <c r="F21" s="30">
        <f>(SUMPRODUCT(($C$14:$K$14+F$20*$C$15:$K$15)/(1+$A21)^$C$16:$K$16)+($K$14+F$20*$K$15)*(1+Inputs!$C$52)/($A21-Inputs!$C$52)/(1+$A21)^$K$16+(Inputs!$B$9+DCF!C160))/Inputs!$B$6</f>
        <v>166.78080571974451</v>
      </c>
      <c r="G21" s="30">
        <f>(SUMPRODUCT(($C$14:$K$14+G$20*$C$15:$K$15)/(1+$A21)^$C$16:$K$16)+($K$14+G$20*$K$15)*(1+Inputs!$C$52)/($A21-Inputs!$C$52)/(1+$A21)^$K$16+(Inputs!$B$9+DCF!C160))/Inputs!$B$6</f>
        <v>198.86512848994428</v>
      </c>
      <c r="H21" s="30">
        <f>(SUMPRODUCT(($C$14:$K$14+H$20*$C$15:$K$15)/(1+$A21)^$C$16:$K$16)+($K$14+H$20*$K$15)*(1+Inputs!$C$52)/($A21-Inputs!$C$52)/(1+$A21)^$K$16+(Inputs!$B$9+DCF!C160))/Inputs!$B$6</f>
        <v>230.949451260144</v>
      </c>
      <c r="I21" s="30">
        <f>(SUMPRODUCT(($C$14:$K$14+I$20*$C$15:$K$15)/(1+$A21)^$C$16:$K$16)+($K$14+I$20*$K$15)*(1+Inputs!$C$52)/($A21-Inputs!$C$52)/(1+$A21)^$K$16+(Inputs!$B$9+DCF!C160))/Inputs!$B$6</f>
        <v>263.03377403034381</v>
      </c>
    </row>
    <row r="22" spans="1:9" x14ac:dyDescent="0.3">
      <c r="A22" s="29">
        <v>0.08</v>
      </c>
      <c r="C22" s="30">
        <f>(SUMPRODUCT(($C$14:$K$14+C$20*$C$15:$K$15)/(1+$A22)^$C$16:$K$16)+($K$14+C$20*$K$15)*(1+Inputs!$C$52)/($A22-Inputs!$C$52)/(1+$A22)^$K$16+(Inputs!$B$9+DCF!C160))/Inputs!$B$6</f>
        <v>67.852274414893543</v>
      </c>
      <c r="D22" s="30">
        <f>(SUMPRODUCT(($C$14:$K$14+D$20*$C$15:$K$15)/(1+$A22)^$C$16:$K$16)+($K$14+D$20*$K$15)*(1+Inputs!$C$52)/($A22-Inputs!$C$52)/(1+$A22)^$K$16+(Inputs!$B$9+DCF!C160))/Inputs!$B$6</f>
        <v>97.167283338384479</v>
      </c>
      <c r="E22" s="30">
        <f>(SUMPRODUCT(($C$14:$K$14+E$20*$C$15:$K$15)/(1+$A22)^$C$16:$K$16)+($K$14+E$20*$K$15)*(1+Inputs!$C$52)/($A22-Inputs!$C$52)/(1+$A22)^$K$16+(Inputs!$B$9+DCF!C160))/Inputs!$B$6</f>
        <v>126.4822922618754</v>
      </c>
      <c r="F22" s="30">
        <f>(SUMPRODUCT(($C$14:$K$14+F$20*$C$15:$K$15)/(1+$A22)^$C$16:$K$16)+($K$14+F$20*$K$15)*(1+Inputs!$C$52)/($A22-Inputs!$C$52)/(1+$A22)^$K$16+(Inputs!$B$9+DCF!C160))/Inputs!$B$6</f>
        <v>155.79730118536631</v>
      </c>
      <c r="G22" s="30">
        <f>(SUMPRODUCT(($C$14:$K$14+G$20*$C$15:$K$15)/(1+$A22)^$C$16:$K$16)+($K$14+G$20*$K$15)*(1+Inputs!$C$52)/($A22-Inputs!$C$52)/(1+$A22)^$K$16+(Inputs!$B$9+DCF!C160))/Inputs!$B$6</f>
        <v>185.1123101088572</v>
      </c>
      <c r="H22" s="30">
        <f>(SUMPRODUCT(($C$14:$K$14+H$20*$C$15:$K$15)/(1+$A22)^$C$16:$K$16)+($K$14+H$20*$K$15)*(1+Inputs!$C$52)/($A22-Inputs!$C$52)/(1+$A22)^$K$16+(Inputs!$B$9+DCF!C160))/Inputs!$B$6</f>
        <v>214.42731903234818</v>
      </c>
      <c r="I22" s="30">
        <f>(SUMPRODUCT(($C$14:$K$14+I$20*$C$15:$K$15)/(1+$A22)^$C$16:$K$16)+($K$14+I$20*$K$15)*(1+Inputs!$C$52)/($A22-Inputs!$C$52)/(1+$A22)^$K$16+(Inputs!$B$9+DCF!C160))/Inputs!$B$6</f>
        <v>243.74232795583907</v>
      </c>
    </row>
    <row r="23" spans="1:9" x14ac:dyDescent="0.3">
      <c r="A23" s="29">
        <v>8.5000000000000006E-2</v>
      </c>
      <c r="C23" s="30">
        <f>(SUMPRODUCT(($C$14:$K$14+C$20*$C$15:$K$15)/(1+$A23)^$C$16:$K$16)+($K$14+C$20*$K$15)*(1+Inputs!$C$52)/($A23-Inputs!$C$52)/(1+$A23)^$K$16+(Inputs!$B$9+DCF!C160))/Inputs!$B$6</f>
        <v>65.529191594045642</v>
      </c>
      <c r="D23" s="30">
        <f>(SUMPRODUCT(($C$14:$K$14+D$20*$C$15:$K$15)/(1+$A23)^$C$16:$K$16)+($K$14+D$20*$K$15)*(1+Inputs!$C$52)/($A23-Inputs!$C$52)/(1+$A23)^$K$16+(Inputs!$B$9+DCF!C160))/Inputs!$B$6</f>
        <v>92.475106558578759</v>
      </c>
      <c r="E23" s="30">
        <f>(SUMPRODUCT(($C$14:$K$14+E$20*$C$15:$K$15)/(1+$A23)^$C$16:$K$16)+($K$14+E$20*$K$15)*(1+Inputs!$C$52)/($A23-Inputs!$C$52)/(1+$A23)^$K$16+(Inputs!$B$9+DCF!C160))/Inputs!$B$6</f>
        <v>119.42102152311189</v>
      </c>
      <c r="F23" s="30">
        <f>(SUMPRODUCT(($C$14:$K$14+F$20*$C$15:$K$15)/(1+$A23)^$C$16:$K$16)+($K$14+F$20*$K$15)*(1+Inputs!$C$52)/($A23-Inputs!$C$52)/(1+$A23)^$K$16+(Inputs!$B$9+DCF!C160))/Inputs!$B$6</f>
        <v>146.36693648764501</v>
      </c>
      <c r="G23" s="30">
        <f>(SUMPRODUCT(($C$14:$K$14+G$20*$C$15:$K$15)/(1+$A23)^$C$16:$K$16)+($K$14+G$20*$K$15)*(1+Inputs!$C$52)/($A23-Inputs!$C$52)/(1+$A23)^$K$16+(Inputs!$B$9+DCF!C160))/Inputs!$B$6</f>
        <v>173.31285145217811</v>
      </c>
      <c r="H23" s="30">
        <f>(SUMPRODUCT(($C$14:$K$14+H$20*$C$15:$K$15)/(1+$A23)^$C$16:$K$16)+($K$14+H$20*$K$15)*(1+Inputs!$C$52)/($A23-Inputs!$C$52)/(1+$A23)^$K$16+(Inputs!$B$9+DCF!C160))/Inputs!$B$6</f>
        <v>200.25876641671124</v>
      </c>
      <c r="I23" s="30">
        <f>(SUMPRODUCT(($C$14:$K$14+I$20*$C$15:$K$15)/(1+$A23)^$C$16:$K$16)+($K$14+I$20*$K$15)*(1+Inputs!$C$52)/($A23-Inputs!$C$52)/(1+$A23)^$K$16+(Inputs!$B$9+DCF!C160))/Inputs!$B$6</f>
        <v>227.2046813812444</v>
      </c>
    </row>
    <row r="24" spans="1:9" x14ac:dyDescent="0.3">
      <c r="A24" s="29">
        <v>0.09</v>
      </c>
      <c r="C24" s="30">
        <f>(SUMPRODUCT(($C$14:$K$14+C$20*$C$15:$K$15)/(1+$A24)^$C$16:$K$16)+($K$14+C$20*$K$15)*(1+Inputs!$C$52)/($A24-Inputs!$C$52)/(1+$A24)^$K$16+(Inputs!$B$9+DCF!C160))/Inputs!$B$6</f>
        <v>63.488743219940332</v>
      </c>
      <c r="D24" s="30">
        <f>(SUMPRODUCT(($C$14:$K$14+D$20*$C$15:$K$15)/(1+$A24)^$C$16:$K$16)+($K$14+D$20*$K$15)*(1+Inputs!$C$52)/($A24-Inputs!$C$52)/(1+$A24)^$K$16+(Inputs!$B$9+DCF!C160))/Inputs!$B$6</f>
        <v>88.385643136469596</v>
      </c>
      <c r="E24" s="30">
        <f>(SUMPRODUCT(($C$14:$K$14+E$20*$C$15:$K$15)/(1+$A24)^$C$16:$K$16)+($K$14+E$20*$K$15)*(1+Inputs!$C$52)/($A24-Inputs!$C$52)/(1+$A24)^$K$16+(Inputs!$B$9+DCF!C160))/Inputs!$B$6</f>
        <v>113.28254305299885</v>
      </c>
      <c r="F24" s="30">
        <f>(SUMPRODUCT(($C$14:$K$14+F$20*$C$15:$K$15)/(1+$A24)^$C$16:$K$16)+($K$14+F$20*$K$15)*(1+Inputs!$C$52)/($A24-Inputs!$C$52)/(1+$A24)^$K$16+(Inputs!$B$9+DCF!C160))/Inputs!$B$6</f>
        <v>138.17944296952808</v>
      </c>
      <c r="G24" s="30">
        <f>(SUMPRODUCT(($C$14:$K$14+G$20*$C$15:$K$15)/(1+$A24)^$C$16:$K$16)+($K$14+G$20*$K$15)*(1+Inputs!$C$52)/($A24-Inputs!$C$52)/(1+$A24)^$K$16+(Inputs!$B$9+DCF!C160))/Inputs!$B$6</f>
        <v>163.07634288605738</v>
      </c>
      <c r="H24" s="30">
        <f>(SUMPRODUCT(($C$14:$K$14+H$20*$C$15:$K$15)/(1+$A24)^$C$16:$K$16)+($K$14+H$20*$K$15)*(1+Inputs!$C$52)/($A24-Inputs!$C$52)/(1+$A24)^$K$16+(Inputs!$B$9+DCF!C160))/Inputs!$B$6</f>
        <v>187.97324280258664</v>
      </c>
      <c r="I24" s="30">
        <f>(SUMPRODUCT(($C$14:$K$14+I$20*$C$15:$K$15)/(1+$A24)^$C$16:$K$16)+($K$14+I$20*$K$15)*(1+Inputs!$C$52)/($A24-Inputs!$C$52)/(1+$A24)^$K$16+(Inputs!$B$9+DCF!C160))/Inputs!$B$6</f>
        <v>212.87014271911593</v>
      </c>
    </row>
    <row r="25" spans="1:9" x14ac:dyDescent="0.3">
      <c r="A25" s="29">
        <v>9.5000000000000001E-2</v>
      </c>
      <c r="C25" s="30">
        <f>(SUMPRODUCT(($C$14:$K$14+C$20*$C$15:$K$15)/(1+$A25)^$C$16:$K$16)+($K$14+C$20*$K$15)*(1+Inputs!$C$52)/($A25-Inputs!$C$52)/(1+$A25)^$K$16+(Inputs!$B$9+DCF!C160))/Inputs!$B$6</f>
        <v>61.678527674423108</v>
      </c>
      <c r="D25" s="30">
        <f>(SUMPRODUCT(($C$14:$K$14+D$20*$C$15:$K$15)/(1+$A25)^$C$16:$K$16)+($K$14+D$20*$K$15)*(1+Inputs!$C$52)/($A25-Inputs!$C$52)/(1+$A25)^$K$16+(Inputs!$B$9+DCF!C160))/Inputs!$B$6</f>
        <v>84.786388346099287</v>
      </c>
      <c r="E25" s="30">
        <f>(SUMPRODUCT(($C$14:$K$14+E$20*$C$15:$K$15)/(1+$A25)^$C$16:$K$16)+($K$14+E$20*$K$15)*(1+Inputs!$C$52)/($A25-Inputs!$C$52)/(1+$A25)^$K$16+(Inputs!$B$9+DCF!C160))/Inputs!$B$6</f>
        <v>107.89424901777545</v>
      </c>
      <c r="F25" s="30">
        <f>(SUMPRODUCT(($C$14:$K$14+F$20*$C$15:$K$15)/(1+$A25)^$C$16:$K$16)+($K$14+F$20*$K$15)*(1+Inputs!$C$52)/($A25-Inputs!$C$52)/(1+$A25)^$K$16+(Inputs!$B$9+DCF!C160))/Inputs!$B$6</f>
        <v>131.0021096894516</v>
      </c>
      <c r="G25" s="30">
        <f>(SUMPRODUCT(($C$14:$K$14+G$20*$C$15:$K$15)/(1+$A25)^$C$16:$K$16)+($K$14+G$20*$K$15)*(1+Inputs!$C$52)/($A25-Inputs!$C$52)/(1+$A25)^$K$16+(Inputs!$B$9+DCF!C160))/Inputs!$B$6</f>
        <v>154.10997036112775</v>
      </c>
      <c r="H25" s="30">
        <f>(SUMPRODUCT(($C$14:$K$14+H$20*$C$15:$K$15)/(1+$A25)^$C$16:$K$16)+($K$14+H$20*$K$15)*(1+Inputs!$C$52)/($A25-Inputs!$C$52)/(1+$A25)^$K$16+(Inputs!$B$9+DCF!C160))/Inputs!$B$6</f>
        <v>177.21783103280396</v>
      </c>
      <c r="I25" s="30">
        <f>(SUMPRODUCT(($C$14:$K$14+I$20*$C$15:$K$15)/(1+$A25)^$C$16:$K$16)+($K$14+I$20*$K$15)*(1+Inputs!$C$52)/($A25-Inputs!$C$52)/(1+$A25)^$K$16+(Inputs!$B$9+DCF!C160))/Inputs!$B$6</f>
        <v>200.32569170448014</v>
      </c>
    </row>
    <row r="26" spans="1:9" x14ac:dyDescent="0.3">
      <c r="A26" s="29">
        <v>0.1</v>
      </c>
      <c r="C26" s="30">
        <f>(SUMPRODUCT(($C$14:$K$14+C$20*$C$15:$K$15)/(1+$A26)^$C$16:$K$16)+($K$14+C$20*$K$15)*(1+Inputs!$C$52)/($A26-Inputs!$C$52)/(1+$A26)^$K$16+(Inputs!$B$9+DCF!C160))/Inputs!$B$6</f>
        <v>60.058457370761062</v>
      </c>
      <c r="D26" s="30">
        <f>(SUMPRODUCT(($C$14:$K$14+D$20*$C$15:$K$15)/(1+$A26)^$C$16:$K$16)+($K$14+D$20*$K$15)*(1+Inputs!$C$52)/($A26-Inputs!$C$52)/(1+$A26)^$K$16+(Inputs!$B$9+DCF!C160))/Inputs!$B$6</f>
        <v>81.591295783720199</v>
      </c>
      <c r="E26" s="30">
        <f>(SUMPRODUCT(($C$14:$K$14+E$20*$C$15:$K$15)/(1+$A26)^$C$16:$K$16)+($K$14+E$20*$K$15)*(1+Inputs!$C$52)/($A26-Inputs!$C$52)/(1+$A26)^$K$16+(Inputs!$B$9+DCF!C160))/Inputs!$B$6</f>
        <v>103.12413419667932</v>
      </c>
      <c r="F26" s="30">
        <f>(SUMPRODUCT(($C$14:$K$14+F$20*$C$15:$K$15)/(1+$A26)^$C$16:$K$16)+($K$14+F$20*$K$15)*(1+Inputs!$C$52)/($A26-Inputs!$C$52)/(1+$A26)^$K$16+(Inputs!$B$9+DCF!C160))/Inputs!$B$6</f>
        <v>124.65697260963844</v>
      </c>
      <c r="G26" s="30">
        <f>(SUMPRODUCT(($C$14:$K$14+G$20*$C$15:$K$15)/(1+$A26)^$C$16:$K$16)+($K$14+G$20*$K$15)*(1+Inputs!$C$52)/($A26-Inputs!$C$52)/(1+$A26)^$K$16+(Inputs!$B$9+DCF!C160))/Inputs!$B$6</f>
        <v>146.18981102259761</v>
      </c>
      <c r="H26" s="30">
        <f>(SUMPRODUCT(($C$14:$K$14+H$20*$C$15:$K$15)/(1+$A26)^$C$16:$K$16)+($K$14+H$20*$K$15)*(1+Inputs!$C$52)/($A26-Inputs!$C$52)/(1+$A26)^$K$16+(Inputs!$B$9+DCF!C160))/Inputs!$B$6</f>
        <v>167.72264943555672</v>
      </c>
      <c r="I26" s="30">
        <f>(SUMPRODUCT(($C$14:$K$14+I$20*$C$15:$K$15)/(1+$A26)^$C$16:$K$16)+($K$14+I$20*$K$15)*(1+Inputs!$C$52)/($A26-Inputs!$C$52)/(1+$A26)^$K$16+(Inputs!$B$9+DCF!C160))/Inputs!$B$6</f>
        <v>189.25548784851588</v>
      </c>
    </row>
    <row r="27" spans="1:9" x14ac:dyDescent="0.3">
      <c r="A27" s="29">
        <v>0.11</v>
      </c>
      <c r="C27" s="30">
        <f>(SUMPRODUCT(($C$14:$K$14+C$20*$C$15:$K$15)/(1+$A27)^$C$16:$K$16)+($K$14+C$20*$K$15)*(1+Inputs!$C$52)/($A27-Inputs!$C$52)/(1+$A27)^$K$16+(Inputs!$B$9+DCF!C160))/Inputs!$B$6</f>
        <v>57.270531878251994</v>
      </c>
      <c r="D27" s="30">
        <f>(SUMPRODUCT(($C$14:$K$14+D$20*$C$15:$K$15)/(1+$A27)^$C$16:$K$16)+($K$14+D$20*$K$15)*(1+Inputs!$C$52)/($A27-Inputs!$C$52)/(1+$A27)^$K$16+(Inputs!$B$9+DCF!C160))/Inputs!$B$6</f>
        <v>76.159929381323437</v>
      </c>
      <c r="E27" s="30">
        <f>(SUMPRODUCT(($C$14:$K$14+E$20*$C$15:$K$15)/(1+$A27)^$C$16:$K$16)+($K$14+E$20*$K$15)*(1+Inputs!$C$52)/($A27-Inputs!$C$52)/(1+$A27)^$K$16+(Inputs!$B$9+DCF!C160))/Inputs!$B$6</f>
        <v>95.049326884394915</v>
      </c>
      <c r="F27" s="30">
        <f>(SUMPRODUCT(($C$14:$K$14+F$20*$C$15:$K$15)/(1+$A27)^$C$16:$K$16)+($K$14+F$20*$K$15)*(1+Inputs!$C$52)/($A27-Inputs!$C$52)/(1+$A27)^$K$16+(Inputs!$B$9+DCF!C160))/Inputs!$B$6</f>
        <v>113.93872438746634</v>
      </c>
      <c r="G27" s="30">
        <f>(SUMPRODUCT(($C$14:$K$14+G$20*$C$15:$K$15)/(1+$A27)^$C$16:$K$16)+($K$14+G$20*$K$15)*(1+Inputs!$C$52)/($A27-Inputs!$C$52)/(1+$A27)^$K$16+(Inputs!$B$9+DCF!C160))/Inputs!$B$6</f>
        <v>132.8281218905378</v>
      </c>
      <c r="H27" s="30">
        <f>(SUMPRODUCT(($C$14:$K$14+H$20*$C$15:$K$15)/(1+$A27)^$C$16:$K$16)+($K$14+H$20*$K$15)*(1+Inputs!$C$52)/($A27-Inputs!$C$52)/(1+$A27)^$K$16+(Inputs!$B$9+DCF!C160))/Inputs!$B$6</f>
        <v>151.71751939360925</v>
      </c>
      <c r="I27" s="30">
        <f>(SUMPRODUCT(($C$14:$K$14+I$20*$C$15:$K$15)/(1+$A27)^$C$16:$K$16)+($K$14+I$20*$K$15)*(1+Inputs!$C$52)/($A27-Inputs!$C$52)/(1+$A27)^$K$16+(Inputs!$B$9+DCF!C160))/Inputs!$B$6</f>
        <v>170.60691689668073</v>
      </c>
    </row>
    <row r="29" spans="1:9" x14ac:dyDescent="0.3">
      <c r="A29" s="5" t="s">
        <v>198</v>
      </c>
      <c r="C29" s="12">
        <f>Inputs!B5</f>
        <v>211.6</v>
      </c>
    </row>
    <row r="30" spans="1:9" x14ac:dyDescent="0.3">
      <c r="A30" s="5" t="s">
        <v>199</v>
      </c>
      <c r="C30" s="8">
        <f>Inputs!B19</f>
        <v>9.6280760279493574E-2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Summary</vt:lpstr>
      <vt:lpstr>Inputs</vt:lpstr>
      <vt:lpstr>Historical</vt:lpstr>
      <vt:lpstr>DCF</vt:lpstr>
      <vt:lpstr>Reverse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renere</cp:lastModifiedBy>
  <dcterms:created xsi:type="dcterms:W3CDTF">2026-10-17T15:46:00Z</dcterms:created>
  <dcterms:modified xsi:type="dcterms:W3CDTF">2026-10-17T15:46:03Z</dcterms:modified>
</cp:coreProperties>
</file>