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5\Desktop\investing-portfolio\valuation\micron\"/>
    </mc:Choice>
  </mc:AlternateContent>
  <xr:revisionPtr revIDLastSave="0" documentId="13_ncr:1_{29FE129A-FE7B-422C-B687-FD2F15384B63}" xr6:coauthVersionLast="47" xr6:coauthVersionMax="47" xr10:uidLastSave="{00000000-0000-0000-0000-000000000000}"/>
  <bookViews>
    <workbookView xWindow="5052" yWindow="3360" windowWidth="17280" windowHeight="8880" xr2:uid="{00000000-000D-0000-FFFF-FFFF00000000}"/>
  </bookViews>
  <sheets>
    <sheet name="Summary" sheetId="1" r:id="rId1"/>
    <sheet name="Inputs" sheetId="2" r:id="rId2"/>
    <sheet name="Historical" sheetId="3" r:id="rId3"/>
    <sheet name="DCF" sheetId="4" r:id="rId4"/>
    <sheet name="Reverse DCF" sheetId="5" r:id="rId5"/>
    <sheet name="Com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6" l="1"/>
  <c r="G12" i="6"/>
  <c r="F12" i="6"/>
  <c r="E12" i="6"/>
  <c r="D12" i="6"/>
  <c r="D13" i="6" s="1"/>
  <c r="C12" i="6"/>
  <c r="C30" i="5"/>
  <c r="C11" i="5"/>
  <c r="E8" i="5"/>
  <c r="D8" i="5"/>
  <c r="C97" i="4"/>
  <c r="C95" i="4"/>
  <c r="C89" i="4"/>
  <c r="C87" i="4"/>
  <c r="D7" i="1" s="1"/>
  <c r="H80" i="4"/>
  <c r="G80" i="4"/>
  <c r="F80" i="4"/>
  <c r="E80" i="4"/>
  <c r="D80" i="4"/>
  <c r="C80" i="4"/>
  <c r="C79" i="4"/>
  <c r="C76" i="4"/>
  <c r="C75" i="4" s="1"/>
  <c r="H75" i="4"/>
  <c r="G75" i="4"/>
  <c r="F75" i="4"/>
  <c r="E75" i="4"/>
  <c r="D75" i="4"/>
  <c r="H74" i="4"/>
  <c r="G74" i="4"/>
  <c r="F74" i="4"/>
  <c r="E74" i="4"/>
  <c r="D74" i="4"/>
  <c r="C73" i="4"/>
  <c r="D73" i="4" s="1"/>
  <c r="C63" i="4"/>
  <c r="C61" i="4"/>
  <c r="C55" i="4"/>
  <c r="C53" i="4"/>
  <c r="C7" i="1" s="1"/>
  <c r="H46" i="4"/>
  <c r="G46" i="4"/>
  <c r="F46" i="4"/>
  <c r="E46" i="4"/>
  <c r="D46" i="4"/>
  <c r="C46" i="4"/>
  <c r="C45" i="4"/>
  <c r="C42" i="4"/>
  <c r="C41" i="4" s="1"/>
  <c r="H41" i="4"/>
  <c r="G41" i="4"/>
  <c r="F41" i="4"/>
  <c r="E41" i="4"/>
  <c r="D41" i="4"/>
  <c r="H40" i="4"/>
  <c r="G40" i="4"/>
  <c r="F40" i="4"/>
  <c r="E40" i="4"/>
  <c r="D40" i="4"/>
  <c r="C39" i="4"/>
  <c r="D39" i="4" s="1"/>
  <c r="D5" i="5" s="1"/>
  <c r="C29" i="4"/>
  <c r="C27" i="4"/>
  <c r="C21" i="4"/>
  <c r="C19" i="4"/>
  <c r="H12" i="4"/>
  <c r="G12" i="4"/>
  <c r="F12" i="4"/>
  <c r="E12" i="4"/>
  <c r="D12" i="4"/>
  <c r="C12" i="4"/>
  <c r="C11" i="4"/>
  <c r="D11" i="4" s="1"/>
  <c r="E11" i="4" s="1"/>
  <c r="F11" i="4" s="1"/>
  <c r="G11" i="4" s="1"/>
  <c r="H11" i="4" s="1"/>
  <c r="C8" i="4"/>
  <c r="C7" i="4" s="1"/>
  <c r="H7" i="4"/>
  <c r="G7" i="4"/>
  <c r="F7" i="4"/>
  <c r="E7" i="4"/>
  <c r="D7" i="4"/>
  <c r="H6" i="4"/>
  <c r="G6" i="4"/>
  <c r="F6" i="4"/>
  <c r="E6" i="4"/>
  <c r="D6" i="4"/>
  <c r="C5" i="4"/>
  <c r="D5" i="4" s="1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22" i="3"/>
  <c r="C22" i="3"/>
  <c r="B22" i="3"/>
  <c r="N21" i="3"/>
  <c r="B30" i="3" s="1"/>
  <c r="M21" i="3"/>
  <c r="L21" i="3"/>
  <c r="K21" i="3"/>
  <c r="J21" i="3"/>
  <c r="I21" i="3"/>
  <c r="H21" i="3"/>
  <c r="G21" i="3"/>
  <c r="F21" i="3"/>
  <c r="C16" i="5" s="1"/>
  <c r="E21" i="3"/>
  <c r="D21" i="3"/>
  <c r="C21" i="3"/>
  <c r="B29" i="3" s="1"/>
  <c r="B21" i="3"/>
  <c r="K20" i="3"/>
  <c r="J20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6" i="3"/>
  <c r="N22" i="3" s="1"/>
  <c r="M16" i="3"/>
  <c r="M22" i="3" s="1"/>
  <c r="L16" i="3"/>
  <c r="L22" i="3" s="1"/>
  <c r="K16" i="3"/>
  <c r="K22" i="3" s="1"/>
  <c r="J16" i="3"/>
  <c r="J22" i="3" s="1"/>
  <c r="I16" i="3"/>
  <c r="I22" i="3" s="1"/>
  <c r="H16" i="3"/>
  <c r="H22" i="3" s="1"/>
  <c r="G16" i="3"/>
  <c r="G22" i="3" s="1"/>
  <c r="F16" i="3"/>
  <c r="F22" i="3" s="1"/>
  <c r="E16" i="3"/>
  <c r="D16" i="3"/>
  <c r="D22" i="3" s="1"/>
  <c r="C16" i="3"/>
  <c r="B16" i="3"/>
  <c r="N7" i="3"/>
  <c r="N20" i="3" s="1"/>
  <c r="M7" i="3"/>
  <c r="M20" i="3" s="1"/>
  <c r="L7" i="3"/>
  <c r="L20" i="3" s="1"/>
  <c r="K7" i="3"/>
  <c r="J7" i="3"/>
  <c r="I7" i="3"/>
  <c r="I20" i="3" s="1"/>
  <c r="H7" i="3"/>
  <c r="H20" i="3" s="1"/>
  <c r="G7" i="3"/>
  <c r="G20" i="3" s="1"/>
  <c r="F7" i="3"/>
  <c r="F20" i="3" s="1"/>
  <c r="E7" i="3"/>
  <c r="E20" i="3" s="1"/>
  <c r="D7" i="3"/>
  <c r="D20" i="3" s="1"/>
  <c r="C7" i="3"/>
  <c r="C20" i="3" s="1"/>
  <c r="B7" i="3"/>
  <c r="B20" i="3" s="1"/>
  <c r="B59" i="2"/>
  <c r="B22" i="2"/>
  <c r="C96" i="4" s="1"/>
  <c r="B21" i="2"/>
  <c r="B16" i="2"/>
  <c r="B18" i="2" s="1"/>
  <c r="B19" i="1"/>
  <c r="B15" i="1"/>
  <c r="D13" i="1"/>
  <c r="C13" i="1"/>
  <c r="B13" i="1"/>
  <c r="B7" i="1"/>
  <c r="D45" i="4" l="1"/>
  <c r="E45" i="4" s="1"/>
  <c r="F45" i="4" s="1"/>
  <c r="B27" i="3"/>
  <c r="C15" i="5" s="1"/>
  <c r="D79" i="4"/>
  <c r="E79" i="4" s="1"/>
  <c r="F79" i="4" s="1"/>
  <c r="G79" i="4" s="1"/>
  <c r="H79" i="4" s="1"/>
  <c r="B28" i="3"/>
  <c r="B23" i="2"/>
  <c r="E16" i="4" s="1"/>
  <c r="G45" i="4"/>
  <c r="G84" i="4"/>
  <c r="H50" i="4"/>
  <c r="F84" i="4"/>
  <c r="G50" i="4"/>
  <c r="H16" i="4"/>
  <c r="D50" i="4"/>
  <c r="D13" i="4"/>
  <c r="D8" i="4"/>
  <c r="E5" i="4"/>
  <c r="B5" i="1"/>
  <c r="D81" i="4"/>
  <c r="D76" i="4"/>
  <c r="E73" i="4"/>
  <c r="D5" i="1"/>
  <c r="C5" i="1"/>
  <c r="C19" i="1"/>
  <c r="C28" i="4"/>
  <c r="C62" i="4"/>
  <c r="D47" i="4"/>
  <c r="E39" i="4"/>
  <c r="D42" i="4"/>
  <c r="F16" i="4" l="1"/>
  <c r="C31" i="5"/>
  <c r="H84" i="4"/>
  <c r="D16" i="4"/>
  <c r="E50" i="4"/>
  <c r="B16" i="1"/>
  <c r="D84" i="4"/>
  <c r="G16" i="4"/>
  <c r="B18" i="1"/>
  <c r="F50" i="4"/>
  <c r="E84" i="4"/>
  <c r="E81" i="4"/>
  <c r="E76" i="4"/>
  <c r="F73" i="4"/>
  <c r="D77" i="4"/>
  <c r="D78" i="4" s="1"/>
  <c r="D82" i="4" s="1"/>
  <c r="D85" i="4" s="1"/>
  <c r="E8" i="4"/>
  <c r="F5" i="4"/>
  <c r="E13" i="4"/>
  <c r="D43" i="4"/>
  <c r="D44" i="4" s="1"/>
  <c r="D48" i="4" s="1"/>
  <c r="E47" i="4"/>
  <c r="E42" i="4"/>
  <c r="E5" i="5"/>
  <c r="F39" i="4"/>
  <c r="D9" i="4"/>
  <c r="D10" i="4" s="1"/>
  <c r="D14" i="4" s="1"/>
  <c r="D17" i="4" s="1"/>
  <c r="H45" i="4"/>
  <c r="D7" i="5" l="1"/>
  <c r="D51" i="4"/>
  <c r="F47" i="4"/>
  <c r="F7" i="5" s="1"/>
  <c r="F5" i="5"/>
  <c r="F8" i="5" s="1"/>
  <c r="F42" i="4"/>
  <c r="G39" i="4"/>
  <c r="E43" i="4"/>
  <c r="E44" i="4" s="1"/>
  <c r="E48" i="4" s="1"/>
  <c r="F13" i="4"/>
  <c r="F8" i="4"/>
  <c r="G5" i="4"/>
  <c r="E9" i="4"/>
  <c r="E10" i="4" s="1"/>
  <c r="E14" i="4" s="1"/>
  <c r="E17" i="4" s="1"/>
  <c r="E77" i="4"/>
  <c r="E78" i="4" s="1"/>
  <c r="E82" i="4" s="1"/>
  <c r="E85" i="4" s="1"/>
  <c r="F81" i="4"/>
  <c r="G73" i="4"/>
  <c r="F76" i="4"/>
  <c r="E51" i="4" l="1"/>
  <c r="E7" i="5"/>
  <c r="G47" i="4"/>
  <c r="G7" i="5" s="1"/>
  <c r="H39" i="4"/>
  <c r="G5" i="5"/>
  <c r="G8" i="5" s="1"/>
  <c r="G42" i="4"/>
  <c r="F43" i="4"/>
  <c r="F44" i="4" s="1"/>
  <c r="F48" i="4" s="1"/>
  <c r="F51" i="4" s="1"/>
  <c r="F77" i="4"/>
  <c r="F78" i="4" s="1"/>
  <c r="F82" i="4" s="1"/>
  <c r="F85" i="4" s="1"/>
  <c r="G13" i="4"/>
  <c r="H5" i="4"/>
  <c r="G8" i="4"/>
  <c r="F9" i="4"/>
  <c r="F10" i="4" s="1"/>
  <c r="F14" i="4" s="1"/>
  <c r="F17" i="4" s="1"/>
  <c r="G81" i="4"/>
  <c r="G76" i="4"/>
  <c r="H73" i="4"/>
  <c r="G43" i="4" l="1"/>
  <c r="G44" i="4" s="1"/>
  <c r="G48" i="4" s="1"/>
  <c r="G51" i="4" s="1"/>
  <c r="G9" i="4"/>
  <c r="G10" i="4" s="1"/>
  <c r="G14" i="4" s="1"/>
  <c r="G17" i="4" s="1"/>
  <c r="C6" i="1"/>
  <c r="C54" i="4"/>
  <c r="C56" i="4" s="1"/>
  <c r="C57" i="4" s="1"/>
  <c r="C58" i="4" s="1"/>
  <c r="H47" i="4"/>
  <c r="H7" i="5" s="1"/>
  <c r="C12" i="5" s="1"/>
  <c r="H5" i="5"/>
  <c r="H42" i="4"/>
  <c r="D6" i="1"/>
  <c r="H81" i="4"/>
  <c r="C88" i="4"/>
  <c r="C90" i="4" s="1"/>
  <c r="C91" i="4" s="1"/>
  <c r="C92" i="4" s="1"/>
  <c r="H76" i="4"/>
  <c r="H13" i="4"/>
  <c r="C20" i="4"/>
  <c r="C22" i="4" s="1"/>
  <c r="C23" i="4" s="1"/>
  <c r="C24" i="4" s="1"/>
  <c r="H8" i="4"/>
  <c r="B6" i="1"/>
  <c r="G77" i="4"/>
  <c r="G78" i="4" s="1"/>
  <c r="G82" i="4" s="1"/>
  <c r="G85" i="4" s="1"/>
  <c r="H77" i="4" l="1"/>
  <c r="H78" i="4" s="1"/>
  <c r="H82" i="4" s="1"/>
  <c r="H85" i="4" s="1"/>
  <c r="C93" i="4" s="1"/>
  <c r="C94" i="4" s="1"/>
  <c r="H8" i="5"/>
  <c r="H21" i="5" s="1"/>
  <c r="C25" i="5"/>
  <c r="G22" i="5"/>
  <c r="I27" i="5"/>
  <c r="D24" i="5"/>
  <c r="D23" i="5"/>
  <c r="I25" i="5"/>
  <c r="G23" i="5"/>
  <c r="G26" i="5"/>
  <c r="E21" i="5"/>
  <c r="G24" i="5"/>
  <c r="I23" i="5"/>
  <c r="G21" i="5"/>
  <c r="E27" i="5"/>
  <c r="H28" i="5"/>
  <c r="H27" i="5"/>
  <c r="F26" i="5"/>
  <c r="F25" i="5"/>
  <c r="C27" i="5"/>
  <c r="F22" i="5"/>
  <c r="C21" i="5"/>
  <c r="E26" i="5"/>
  <c r="C22" i="5"/>
  <c r="H26" i="5"/>
  <c r="E25" i="5"/>
  <c r="F24" i="5"/>
  <c r="D21" i="5"/>
  <c r="E28" i="5"/>
  <c r="H22" i="5"/>
  <c r="H23" i="5"/>
  <c r="G25" i="5"/>
  <c r="H24" i="5"/>
  <c r="I21" i="5"/>
  <c r="I28" i="5"/>
  <c r="E22" i="5"/>
  <c r="F27" i="5"/>
  <c r="I22" i="5"/>
  <c r="G27" i="5"/>
  <c r="C23" i="5"/>
  <c r="C26" i="5"/>
  <c r="D25" i="5"/>
  <c r="D27" i="5"/>
  <c r="H43" i="4"/>
  <c r="H44" i="4" s="1"/>
  <c r="H48" i="4" s="1"/>
  <c r="H51" i="4" s="1"/>
  <c r="C59" i="4" s="1"/>
  <c r="C60" i="4" s="1"/>
  <c r="H9" i="4"/>
  <c r="H10" i="4" s="1"/>
  <c r="H14" i="4" s="1"/>
  <c r="H17" i="4" s="1"/>
  <c r="C25" i="4" s="1"/>
  <c r="C26" i="4" s="1"/>
  <c r="C68" i="4" l="1"/>
  <c r="C8" i="1"/>
  <c r="C64" i="4"/>
  <c r="C67" i="4"/>
  <c r="C12" i="1" s="1"/>
  <c r="D8" i="1"/>
  <c r="C102" i="4"/>
  <c r="C98" i="4"/>
  <c r="C101" i="4"/>
  <c r="D12" i="1" s="1"/>
  <c r="F23" i="5"/>
  <c r="I24" i="5"/>
  <c r="F21" i="5"/>
  <c r="E24" i="5"/>
  <c r="F28" i="5"/>
  <c r="D22" i="5"/>
  <c r="C13" i="5"/>
  <c r="C14" i="5" s="1"/>
  <c r="B17" i="1" s="1"/>
  <c r="B8" i="1"/>
  <c r="C34" i="4"/>
  <c r="C30" i="4"/>
  <c r="D26" i="5"/>
  <c r="C33" i="4"/>
  <c r="B12" i="1" s="1"/>
  <c r="G28" i="5"/>
  <c r="C28" i="5"/>
  <c r="E23" i="5"/>
  <c r="C24" i="5"/>
  <c r="H25" i="5"/>
  <c r="D28" i="5"/>
  <c r="I26" i="5"/>
  <c r="C99" i="4" l="1"/>
  <c r="D9" i="1"/>
  <c r="C9" i="1"/>
  <c r="C65" i="4"/>
  <c r="C31" i="4"/>
  <c r="B9" i="1"/>
  <c r="B10" i="1" l="1"/>
  <c r="C32" i="4"/>
  <c r="B11" i="1" s="1"/>
  <c r="C66" i="4"/>
  <c r="C11" i="1" s="1"/>
  <c r="C10" i="1"/>
  <c r="C100" i="4"/>
  <c r="D11" i="1" s="1"/>
  <c r="D10" i="1"/>
  <c r="E10" i="1" l="1"/>
  <c r="E11" i="1" s="1"/>
</calcChain>
</file>

<file path=xl/sharedStrings.xml><?xml version="1.0" encoding="utf-8"?>
<sst xmlns="http://schemas.openxmlformats.org/spreadsheetml/2006/main" count="314" uniqueCount="204">
  <si>
    <t>Micron Technology (MU): three-scenario DCF</t>
  </si>
  <si>
    <t>Valuation date 2026-10-16. $mm unless stated. Change blue/yellow cells in 'Inputs'; everything else recalculates.</t>
  </si>
  <si>
    <t>Bear</t>
  </si>
  <si>
    <t>Base</t>
  </si>
  <si>
    <t>Bull</t>
  </si>
  <si>
    <t>Prob.-weighted</t>
  </si>
  <si>
    <t>FY2027 revenue</t>
  </si>
  <si>
    <t>FY2031 revenue</t>
  </si>
  <si>
    <t>Normalised operating margin</t>
  </si>
  <si>
    <t>Enterprise value</t>
  </si>
  <si>
    <t>Equity value</t>
  </si>
  <si>
    <t>Value per share ($)</t>
  </si>
  <si>
    <t>Upside / (downside)</t>
  </si>
  <si>
    <t>Terminal value as % of EV</t>
  </si>
  <si>
    <t>Probability</t>
  </si>
  <si>
    <t>Current share price ($)</t>
  </si>
  <si>
    <t>WACC</t>
  </si>
  <si>
    <t>Margin from FY29 needed to justify the price</t>
  </si>
  <si>
    <t>Through-cycle operating margin FY15-25</t>
  </si>
  <si>
    <t>Forward P/E: Micron / peer median</t>
  </si>
  <si>
    <t>Legend: blue = input, black = formula, green = link to another sheet, yellow = key assumption.</t>
  </si>
  <si>
    <t>Sources: SEC EDGAR (10-K FY26 filed 2026-10-09; 8-K earnings release 2026-09-30); Yahoo Finance 2026-10-16.</t>
  </si>
  <si>
    <t>Personal research, not investment advice.</t>
  </si>
  <si>
    <t>Micron Technology (MU): inputs and scenario levers ($mm unless stated)</t>
  </si>
  <si>
    <t>Blue = hardcoded input. Yellow = key assumption. Black = formula. Sources in column I.</t>
  </si>
  <si>
    <t>Market data and capital structure</t>
  </si>
  <si>
    <t>Share price ($)</t>
  </si>
  <si>
    <t>Yahoo Finance, close 2026-10-16</t>
  </si>
  <si>
    <t>Diluted shares (mm)</t>
  </si>
  <si>
    <t>FQ4-26 GAAP net income $37,701mm / diluted EPS $32.87 (8-K exhibit 99.1, 2026-09-30)</t>
  </si>
  <si>
    <t>Cash, marketable investments and restricted cash</t>
  </si>
  <si>
    <t>FY26 earnings release (8-K exhibit 99.1, 2026-09-30)</t>
  </si>
  <si>
    <t>Debt (notes)</t>
  </si>
  <si>
    <t>10-K FY26, XBRL LongTermDebt at 2026-09-03</t>
  </si>
  <si>
    <t>Finance lease liabilities</t>
  </si>
  <si>
    <t>10-K FY26, XBRL FinanceLeaseLiability at 2026-09-03</t>
  </si>
  <si>
    <t>Customer contract liability deposits</t>
  </si>
  <si>
    <t>FY26 cash flow: proceeds from customer contract liability deposits (Strategic Customer Agreements)</t>
  </si>
  <si>
    <t>Treat customer deposits as debt? (1 = yes, 0 = no)</t>
  </si>
  <si>
    <t>Prepayments settled in future product; debt-like by default (conservative)</t>
  </si>
  <si>
    <t>Discount rate</t>
  </si>
  <si>
    <t>Risk-free rate (US 10-year)</t>
  </si>
  <si>
    <t>^TNX close 2026-10-16: 5.10%</t>
  </si>
  <si>
    <t>Raw beta (5y monthly)</t>
  </si>
  <si>
    <t>Yahoo Finance</t>
  </si>
  <si>
    <t>Adjusted beta (Blume: 0.67 x raw + 0.33)</t>
  </si>
  <si>
    <t>Formula</t>
  </si>
  <si>
    <t>Equity risk premium</t>
  </si>
  <si>
    <t>Assumption (author)</t>
  </si>
  <si>
    <t>Cost of equity</t>
  </si>
  <si>
    <t>CAPM</t>
  </si>
  <si>
    <t>Pre-tax cost of debt</t>
  </si>
  <si>
    <t>Assumption: 10-year yield + ~40bp (investment grade)</t>
  </si>
  <si>
    <t>Tax rate</t>
  </si>
  <si>
    <t>FY26 effective rate 14.8% (tax $14,761mm / pretax $99,671mm, 10-K)</t>
  </si>
  <si>
    <t>Market capitalisation</t>
  </si>
  <si>
    <t>Debt incl. finance leases</t>
  </si>
  <si>
    <t>Formula, market-value weights</t>
  </si>
  <si>
    <t>Operating and terminal assumptions</t>
  </si>
  <si>
    <t>Terminal growth</t>
  </si>
  <si>
    <t>Assumption: roughly nominal GDP</t>
  </si>
  <si>
    <t>Return on new invested capital (terminal)</t>
  </si>
  <si>
    <t>Assumption: terminal reinvestment rate = g / RONIC</t>
  </si>
  <si>
    <t>Change in NWC as % of change in revenue</t>
  </si>
  <si>
    <t>Assumption (inventory + receivables, net of payables)</t>
  </si>
  <si>
    <t>D&amp;A catch-up to prior-year capex (per year)</t>
  </si>
  <si>
    <t>Assumption: D&amp;A(t) = D&amp;A(t-1) + 20% x (Capex(t-1) - D&amp;A(t-1))</t>
  </si>
  <si>
    <t>FY26 revenue</t>
  </si>
  <si>
    <t>10-K FY26</t>
  </si>
  <si>
    <t>FY26 D&amp;A</t>
  </si>
  <si>
    <t>10-K FY26 cash flow statement</t>
  </si>
  <si>
    <t>FY26 capex, net</t>
  </si>
  <si>
    <t>FY26 earnings release: investments in capital expenditures, net $27.37bn</t>
  </si>
  <si>
    <t>Scenarios (fiscal years end in early September)</t>
  </si>
  <si>
    <t>FY2027</t>
  </si>
  <si>
    <t>FY2028</t>
  </si>
  <si>
    <t>FY2029</t>
  </si>
  <si>
    <t>FY2030</t>
  </si>
  <si>
    <t>FY2031</t>
  </si>
  <si>
    <t>Bear case</t>
  </si>
  <si>
    <t>FY27 at the lowest analyst estimate, then a 2023-style bust. Normalised margin ~ FY15-25 through-cycle average.</t>
  </si>
  <si>
    <t xml:space="preserve">  Revenue growth</t>
  </si>
  <si>
    <t>Consensus (Yahoo Finance, 2026-10-16): FY27 revenue $275.5bn (+107%, low $212.4bn), FY28 $318.9bn (+16%, low $224.2bn).</t>
  </si>
  <si>
    <t xml:space="preserve">  Operating margin</t>
  </si>
  <si>
    <t xml:space="preserve">  Capex, net ($mm)</t>
  </si>
  <si>
    <t xml:space="preserve">  Normalised (terminal) operating margin</t>
  </si>
  <si>
    <t>Base case</t>
  </si>
  <si>
    <t>Consensus for FY27-28, then the cycle turns; margins normalise above history (35%) thanks to HBM mix.</t>
  </si>
  <si>
    <t>FY27 Q1 guidance: revenue $61.5bn +/- 1.5bn, gross margin ~86% (8-K 2026-09-30).</t>
  </si>
  <si>
    <t>Bull case</t>
  </si>
  <si>
    <t>Above consensus and no real downturn: memory stops behaving like a commodity; margins settle at 50%.</t>
  </si>
  <si>
    <t>Scenario probabilities</t>
  </si>
  <si>
    <t xml:space="preserve">  Bear</t>
  </si>
  <si>
    <t>Author's judgement; change freely</t>
  </si>
  <si>
    <t xml:space="preserve">  Base</t>
  </si>
  <si>
    <t xml:space="preserve">  Bull</t>
  </si>
  <si>
    <t xml:space="preserve">  Check (must be 100%)</t>
  </si>
  <si>
    <t>Analyst consensus for reference ($mm)</t>
  </si>
  <si>
    <t xml:space="preserve">  FY2027 revenue</t>
  </si>
  <si>
    <t>Yahoo Finance analyst estimates, 2026-10-16 (35-36 analysts)</t>
  </si>
  <si>
    <t xml:space="preserve">  FY2028 revenue</t>
  </si>
  <si>
    <t xml:space="preserve">  FY2027 EPS ($)</t>
  </si>
  <si>
    <t xml:space="preserve">  FY2028 EPS ($)</t>
  </si>
  <si>
    <t>Micron: historical financials ($mm). Fiscal years end late August / early September.</t>
  </si>
  <si>
    <t>Source: SEC EDGAR XBRL company facts (10-K filings), CIK 0000723125.</t>
  </si>
  <si>
    <t>$mm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</si>
  <si>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</si>
  <si>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</si>
  <si>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</si>
  <si>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</si>
  <si>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</si>
  <si>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</si>
  <si>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</si>
  <si>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</si>
  <si>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</si>
  <si>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</si>
  <si>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</si>
  <si>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</si>
  <si>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</si>
  <si>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Revenue</t>
  </si>
  <si>
    <t>Cost of goods sold</t>
  </si>
  <si>
    <t>Gross profit</t>
  </si>
  <si>
    <t>R&amp;D</t>
  </si>
  <si>
    <t>SG&amp;A</t>
  </si>
  <si>
    <t>Operating income</t>
  </si>
  <si>
    <t>Net income</t>
  </si>
  <si>
    <t>D&amp;A</t>
  </si>
  <si>
    <t>Stock-based compensation</t>
  </si>
  <si>
    <t>Cash from operations</t>
  </si>
  <si>
    <t>Capex (PP&amp;E purchases)</t>
  </si>
  <si>
    <t>Free cash flow (CFO - capex)</t>
  </si>
  <si>
    <t>Diluted EPS ($)</t>
  </si>
  <si>
    <t>Gross margin</t>
  </si>
  <si>
    <t>Operating margin</t>
  </si>
  <si>
    <t>FCF margin</t>
  </si>
  <si>
    <t>Capex / revenue</t>
  </si>
  <si>
    <t>Operating margin through the cycle, FY15-FY25</t>
  </si>
  <si>
    <t xml:space="preserve">  Average</t>
  </si>
  <si>
    <t xml:space="preserve">  Minimum</t>
  </si>
  <si>
    <t xml:space="preserve">  Maximum</t>
  </si>
  <si>
    <t xml:space="preserve">  FY26 (this cycle)</t>
  </si>
  <si>
    <t>DCF by scenario ($mm). End-of-year discounting from the start of FY27 (September 2026).</t>
  </si>
  <si>
    <t>FY2026A</t>
  </si>
  <si>
    <t xml:space="preserve">  growth</t>
  </si>
  <si>
    <t>EBIT</t>
  </si>
  <si>
    <t>Taxes</t>
  </si>
  <si>
    <t>NOPAT</t>
  </si>
  <si>
    <t>Capex, net</t>
  </si>
  <si>
    <t>Change in NWC</t>
  </si>
  <si>
    <t>Free cash flow</t>
  </si>
  <si>
    <t>Discount period (years)</t>
  </si>
  <si>
    <t>Discount factor</t>
  </si>
  <si>
    <t>PV of FCF</t>
  </si>
  <si>
    <t>Terminal NOPAT (FY2032)</t>
  </si>
  <si>
    <t>Terminal reinvestment rate (g / RONIC)</t>
  </si>
  <si>
    <t>Terminal FCF (FY2032)</t>
  </si>
  <si>
    <t>Terminal value at FY2031</t>
  </si>
  <si>
    <t>PV of terminal value</t>
  </si>
  <si>
    <t>Sum of PV of FCF (FY27-31)</t>
  </si>
  <si>
    <t>+ Cash and investments</t>
  </si>
  <si>
    <t>- Debt and finance leases</t>
  </si>
  <si>
    <t>- Customer deposits (if treated as debt)</t>
  </si>
  <si>
    <t>Upside / (downside) vs price</t>
  </si>
  <si>
    <t>Implied EV / FY2027 EBIT</t>
  </si>
  <si>
    <t>What do you have to believe? Base-case revenue and capex; FY27-28 margins as in the base case; operating margin from FY29 onwards = m.</t>
  </si>
  <si>
    <t>Value is linear in m, so FCF splits into a part that does not depend on m (F0) and the part per unit of margin (dF).</t>
  </si>
  <si>
    <t>Revenue (base case)</t>
  </si>
  <si>
    <t>Margin fixed at base case (1 = yes)</t>
  </si>
  <si>
    <t>F0: FCF with margin = 0 where not fixed</t>
  </si>
  <si>
    <t>dF: FCF per unit of margin</t>
  </si>
  <si>
    <t>Discount period</t>
  </si>
  <si>
    <t>Target equity value (price x diluted shares)</t>
  </si>
  <si>
    <t>PV of F0 + net cash</t>
  </si>
  <si>
    <t>PV per unit of margin (explicit + terminal)</t>
  </si>
  <si>
    <t>Implied operating margin from FY29 onwards</t>
  </si>
  <si>
    <t xml:space="preserve">  FY15-25 through-cycle average</t>
  </si>
  <si>
    <t xml:space="preserve">  Previous-cycle peak (FY18)</t>
  </si>
  <si>
    <t>Value per share ($): WACC (rows) x operating margin from FY29 onwards (columns)</t>
  </si>
  <si>
    <t>WACC \ margin</t>
  </si>
  <si>
    <t>Current price ($)</t>
  </si>
  <si>
    <t>Model WACC</t>
  </si>
  <si>
    <t>Memory and storage peers. Source: Yahoo Finance via yfinance, 2026-10-16 (multiples are currency-neutral).</t>
  </si>
  <si>
    <t>Peak-cycle earnings make every P/E in the group look cheap: compare multiples within the cycle, not with the market.</t>
  </si>
  <si>
    <t>Company</t>
  </si>
  <si>
    <t>Ticker</t>
  </si>
  <si>
    <t>Trailing P/E</t>
  </si>
  <si>
    <t>Forward P/E</t>
  </si>
  <si>
    <t>EV / EBITDA</t>
  </si>
  <si>
    <t>EV / revenue</t>
  </si>
  <si>
    <t>Micron</t>
  </si>
  <si>
    <t>MU</t>
  </si>
  <si>
    <t>SK hynix</t>
  </si>
  <si>
    <t>000660.KS</t>
  </si>
  <si>
    <t>n/a</t>
  </si>
  <si>
    <t>Samsung Electronics</t>
  </si>
  <si>
    <t>005930.KS</t>
  </si>
  <si>
    <t>Sandisk</t>
  </si>
  <si>
    <t>SNDK</t>
  </si>
  <si>
    <t>Western Digital</t>
  </si>
  <si>
    <t>WDC</t>
  </si>
  <si>
    <t>Seagate</t>
  </si>
  <si>
    <t>STX</t>
  </si>
  <si>
    <t>Median, peers excl. Micron</t>
  </si>
  <si>
    <t>Micron forward P/E vs peer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</si>
</sst>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\(\$#,##0.00\);&quot;-&quot;"/>
    <numFmt numFmtId="165" formatCode="#,##0;\(#,##0\);&quot;-&quot;"/>
    <numFmt numFmtId="166" formatCode="0.0%;\(0.0%\);&quot;-&quot;"/>
    <numFmt numFmtId="167" formatCode="0.000"/>
    <numFmt numFmtId="168" formatCode="0.0&quot;x&quot;"/>
    <numFmt numFmtId="169" formatCode="\$#,##0;\(\$#,##0\)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FF"/>
      <name val="Arial"/>
    </font>
    <font>
      <b/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3" fillId="0" borderId="0" xfId="0" applyFont="1"/>
    <xf numFmtId="165" fontId="5" fillId="0" borderId="0" xfId="0" applyNumberFormat="1" applyFont="1"/>
    <xf numFmtId="166" fontId="5" fillId="0" borderId="0" xfId="0" applyNumberFormat="1" applyFont="1"/>
    <xf numFmtId="164" fontId="7" fillId="0" borderId="0" xfId="0" applyNumberFormat="1" applyFont="1"/>
    <xf numFmtId="164" fontId="1" fillId="0" borderId="0" xfId="0" applyNumberFormat="1" applyFont="1"/>
    <xf numFmtId="166" fontId="3" fillId="0" borderId="0" xfId="0" applyNumberFormat="1" applyFont="1"/>
    <xf numFmtId="164" fontId="5" fillId="0" borderId="0" xfId="0" applyNumberFormat="1" applyFont="1"/>
    <xf numFmtId="166" fontId="7" fillId="0" borderId="0" xfId="0" applyNumberFormat="1" applyFont="1"/>
    <xf numFmtId="168" fontId="5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" fontId="4" fillId="2" borderId="0" xfId="0" applyNumberFormat="1" applyFont="1" applyFill="1"/>
    <xf numFmtId="166" fontId="4" fillId="0" borderId="0" xfId="0" applyNumberFormat="1" applyFont="1"/>
    <xf numFmtId="2" fontId="4" fillId="0" borderId="0" xfId="0" applyNumberFormat="1" applyFont="1"/>
    <xf numFmtId="2" fontId="3" fillId="0" borderId="0" xfId="0" applyNumberFormat="1" applyFont="1"/>
    <xf numFmtId="166" fontId="4" fillId="2" borderId="0" xfId="0" applyNumberFormat="1" applyFont="1" applyFill="1"/>
    <xf numFmtId="165" fontId="3" fillId="0" borderId="0" xfId="0" applyNumberFormat="1" applyFont="1"/>
    <xf numFmtId="164" fontId="3" fillId="0" borderId="0" xfId="0" applyNumberFormat="1" applyFont="1"/>
    <xf numFmtId="165" fontId="1" fillId="0" borderId="0" xfId="0" applyNumberFormat="1" applyFont="1"/>
    <xf numFmtId="1" fontId="4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6" fontId="1" fillId="0" borderId="0" xfId="0" applyNumberFormat="1" applyFont="1"/>
    <xf numFmtId="166" fontId="6" fillId="3" borderId="0" xfId="0" applyNumberFormat="1" applyFont="1" applyFill="1" applyAlignment="1">
      <alignment horizontal="center"/>
    </xf>
    <xf numFmtId="166" fontId="6" fillId="0" borderId="0" xfId="0" applyNumberFormat="1" applyFont="1"/>
    <xf numFmtId="169" fontId="3" fillId="0" borderId="0" xfId="0" applyNumberFormat="1" applyFont="1"/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/>
  </sheetViews>
  <sheetFormatPr baseColWidth="10" defaultColWidth="8.88671875" defaultRowHeight="14.4" x14ac:dyDescent="0.3"/>
  <cols>
    <col min="1" max="1" width="44" customWidth="1"/>
    <col min="2" max="5" width="15" customWidth="1"/>
  </cols>
  <sheetData>
    <row r="1" spans="1:5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/>
      <c r="B4" s="4" t="s">
        <v>2</v>
      </c>
      <c r="C4" s="4" t="s">
        <v>3</v>
      </c>
      <c r="D4" s="4" t="s">
        <v>4</v>
      </c>
      <c r="E4" s="4" t="s">
        <v>5</v>
      </c>
    </row>
    <row r="5" spans="1:5" x14ac:dyDescent="0.3">
      <c r="A5" s="5" t="s">
        <v>6</v>
      </c>
      <c r="B5" s="6">
        <f>DCF!D5</f>
        <v>213100.80000000002</v>
      </c>
      <c r="C5" s="6">
        <f>DCF!D39</f>
        <v>275699.16000000003</v>
      </c>
      <c r="D5" s="6">
        <f>DCF!D73</f>
        <v>286354.2</v>
      </c>
    </row>
    <row r="6" spans="1:5" x14ac:dyDescent="0.3">
      <c r="A6" s="5" t="s">
        <v>7</v>
      </c>
      <c r="B6" s="6">
        <f>DCF!H5</f>
        <v>86392.129824000018</v>
      </c>
      <c r="C6" s="6">
        <f>DCF!H39</f>
        <v>151110.70959599997</v>
      </c>
      <c r="D6" s="6">
        <f>DCF!H73</f>
        <v>367759.32991875004</v>
      </c>
    </row>
    <row r="7" spans="1:5" x14ac:dyDescent="0.3">
      <c r="A7" s="5" t="s">
        <v>8</v>
      </c>
      <c r="B7" s="7">
        <f>DCF!C19</f>
        <v>0.2</v>
      </c>
      <c r="C7" s="7">
        <f>DCF!C53</f>
        <v>0.35</v>
      </c>
      <c r="D7" s="7">
        <f>DCF!C87</f>
        <v>0.5</v>
      </c>
    </row>
    <row r="8" spans="1:5" x14ac:dyDescent="0.3">
      <c r="A8" s="5" t="s">
        <v>9</v>
      </c>
      <c r="B8" s="6">
        <f>DCF!C26</f>
        <v>183050.93024816469</v>
      </c>
      <c r="C8" s="6">
        <f>DCF!C60</f>
        <v>530279.33626821346</v>
      </c>
      <c r="D8" s="6">
        <f>DCF!C94</f>
        <v>1148091.192400201</v>
      </c>
    </row>
    <row r="9" spans="1:5" x14ac:dyDescent="0.3">
      <c r="A9" s="5" t="s">
        <v>10</v>
      </c>
      <c r="B9" s="6">
        <f>DCF!C30</f>
        <v>238604.93024816469</v>
      </c>
      <c r="C9" s="6">
        <f>DCF!C64</f>
        <v>585833.33626821346</v>
      </c>
      <c r="D9" s="6">
        <f>DCF!C98</f>
        <v>1203645.192400201</v>
      </c>
    </row>
    <row r="10" spans="1:5" x14ac:dyDescent="0.3">
      <c r="A10" s="1" t="s">
        <v>11</v>
      </c>
      <c r="B10" s="8">
        <f>DCF!C31</f>
        <v>208.02522253545308</v>
      </c>
      <c r="C10" s="8">
        <f>DCF!C65</f>
        <v>510.75269073078766</v>
      </c>
      <c r="D10" s="8">
        <f>DCF!C99</f>
        <v>1049.3855208371413</v>
      </c>
      <c r="E10" s="9">
        <f>SUMPRODUCT(B10:D10,B13:D13)</f>
        <v>527.66101629345803</v>
      </c>
    </row>
    <row r="11" spans="1:5" x14ac:dyDescent="0.3">
      <c r="A11" s="5" t="s">
        <v>12</v>
      </c>
      <c r="B11" s="7">
        <f>DCF!C32</f>
        <v>-0.76329568233642864</v>
      </c>
      <c r="C11" s="7">
        <f>DCF!C66</f>
        <v>-0.41883313147923662</v>
      </c>
      <c r="D11" s="7">
        <f>DCF!C100</f>
        <v>0.19405753133350911</v>
      </c>
      <c r="E11" s="10">
        <f>E10/Inputs!B5-1</f>
        <v>-0.39959376417384507</v>
      </c>
    </row>
    <row r="12" spans="1:5" x14ac:dyDescent="0.3">
      <c r="A12" s="5" t="s">
        <v>13</v>
      </c>
      <c r="B12" s="7">
        <f>DCF!C33</f>
        <v>0.30504667018701365</v>
      </c>
      <c r="C12" s="7">
        <f>DCF!C67</f>
        <v>0.32232399544725793</v>
      </c>
      <c r="D12" s="7">
        <f>DCF!C101</f>
        <v>0.51759654774599362</v>
      </c>
    </row>
    <row r="13" spans="1:5" x14ac:dyDescent="0.3">
      <c r="A13" s="5" t="s">
        <v>14</v>
      </c>
      <c r="B13" s="7">
        <f>Inputs!B56</f>
        <v>0.3</v>
      </c>
      <c r="C13" s="7">
        <f>Inputs!B57</f>
        <v>0.5</v>
      </c>
      <c r="D13" s="7">
        <f>Inputs!B58</f>
        <v>0.2</v>
      </c>
    </row>
    <row r="15" spans="1:5" x14ac:dyDescent="0.3">
      <c r="A15" s="5" t="s">
        <v>15</v>
      </c>
      <c r="B15" s="11">
        <f>Inputs!B5</f>
        <v>878.84</v>
      </c>
    </row>
    <row r="16" spans="1:5" x14ac:dyDescent="0.3">
      <c r="A16" s="5" t="s">
        <v>16</v>
      </c>
      <c r="B16" s="7">
        <f>Inputs!B23</f>
        <v>0.14171708319436885</v>
      </c>
    </row>
    <row r="17" spans="1:3" x14ac:dyDescent="0.3">
      <c r="A17" s="1" t="s">
        <v>17</v>
      </c>
      <c r="B17" s="12">
        <f>'Reverse DCF'!C14</f>
        <v>0.93513151208453948</v>
      </c>
    </row>
    <row r="18" spans="1:3" x14ac:dyDescent="0.3">
      <c r="A18" s="5" t="s">
        <v>18</v>
      </c>
      <c r="B18" s="7">
        <f>Historical!B27</f>
        <v>0.17471715052005224</v>
      </c>
    </row>
    <row r="19" spans="1:3" x14ac:dyDescent="0.3">
      <c r="A19" s="5" t="s">
        <v>19</v>
      </c>
      <c r="B19" s="13">
        <f>Comps!D5</f>
        <v>4.2</v>
      </c>
      <c r="C19" s="13">
        <f>Comps!D12</f>
        <v>4.9000000000000004</v>
      </c>
    </row>
    <row r="21" spans="1:3" x14ac:dyDescent="0.3">
      <c r="A21" s="2" t="s">
        <v>20</v>
      </c>
    </row>
    <row r="22" spans="1:3" x14ac:dyDescent="0.3">
      <c r="A22" s="2" t="s">
        <v>21</v>
      </c>
    </row>
    <row r="23" spans="1:3" x14ac:dyDescent="0.3">
      <c r="A23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showGridLines="0" workbookViewId="0"/>
  </sheetViews>
  <sheetFormatPr baseColWidth="10" defaultColWidth="8.88671875" defaultRowHeight="14.4" x14ac:dyDescent="0.3"/>
  <cols>
    <col min="1" max="1" width="48" customWidth="1"/>
    <col min="2" max="8" width="12" customWidth="1"/>
    <col min="9" max="9" width="90" customWidth="1"/>
  </cols>
  <sheetData>
    <row r="1" spans="1:9" x14ac:dyDescent="0.3">
      <c r="A1" s="1" t="s">
        <v>23</v>
      </c>
    </row>
    <row r="2" spans="1:9" x14ac:dyDescent="0.3">
      <c r="A2" s="2" t="s">
        <v>24</v>
      </c>
    </row>
    <row r="4" spans="1:9" x14ac:dyDescent="0.3">
      <c r="A4" s="1" t="s">
        <v>25</v>
      </c>
    </row>
    <row r="5" spans="1:9" x14ac:dyDescent="0.3">
      <c r="A5" s="5" t="s">
        <v>26</v>
      </c>
      <c r="B5" s="14">
        <v>878.84</v>
      </c>
      <c r="I5" s="2" t="s">
        <v>27</v>
      </c>
    </row>
    <row r="6" spans="1:9" x14ac:dyDescent="0.3">
      <c r="A6" s="5" t="s">
        <v>28</v>
      </c>
      <c r="B6" s="15">
        <v>1147</v>
      </c>
      <c r="I6" s="2" t="s">
        <v>29</v>
      </c>
    </row>
    <row r="7" spans="1:9" x14ac:dyDescent="0.3">
      <c r="A7" s="5" t="s">
        <v>30</v>
      </c>
      <c r="B7" s="15">
        <v>73480</v>
      </c>
      <c r="I7" s="2" t="s">
        <v>31</v>
      </c>
    </row>
    <row r="8" spans="1:9" x14ac:dyDescent="0.3">
      <c r="A8" s="5" t="s">
        <v>32</v>
      </c>
      <c r="B8" s="15">
        <v>2792</v>
      </c>
      <c r="I8" s="2" t="s">
        <v>33</v>
      </c>
    </row>
    <row r="9" spans="1:9" x14ac:dyDescent="0.3">
      <c r="A9" s="5" t="s">
        <v>34</v>
      </c>
      <c r="B9" s="15">
        <v>2387</v>
      </c>
      <c r="I9" s="2" t="s">
        <v>35</v>
      </c>
    </row>
    <row r="10" spans="1:9" x14ac:dyDescent="0.3">
      <c r="A10" s="5" t="s">
        <v>36</v>
      </c>
      <c r="B10" s="15">
        <v>12747</v>
      </c>
      <c r="I10" s="2" t="s">
        <v>37</v>
      </c>
    </row>
    <row r="11" spans="1:9" x14ac:dyDescent="0.3">
      <c r="A11" s="5" t="s">
        <v>38</v>
      </c>
      <c r="B11" s="16">
        <v>1</v>
      </c>
      <c r="I11" s="2" t="s">
        <v>39</v>
      </c>
    </row>
    <row r="13" spans="1:9" x14ac:dyDescent="0.3">
      <c r="A13" s="1" t="s">
        <v>40</v>
      </c>
    </row>
    <row r="14" spans="1:9" x14ac:dyDescent="0.3">
      <c r="A14" s="5" t="s">
        <v>41</v>
      </c>
      <c r="B14" s="17">
        <v>5.0999999999999997E-2</v>
      </c>
      <c r="I14" s="2" t="s">
        <v>42</v>
      </c>
    </row>
    <row r="15" spans="1:9" x14ac:dyDescent="0.3">
      <c r="A15" s="5" t="s">
        <v>43</v>
      </c>
      <c r="B15" s="18">
        <v>2.23</v>
      </c>
      <c r="I15" s="2" t="s">
        <v>44</v>
      </c>
    </row>
    <row r="16" spans="1:9" x14ac:dyDescent="0.3">
      <c r="A16" s="5" t="s">
        <v>45</v>
      </c>
      <c r="B16" s="19">
        <f>0.67*B15+0.33</f>
        <v>1.8241000000000001</v>
      </c>
      <c r="I16" s="2" t="s">
        <v>46</v>
      </c>
    </row>
    <row r="17" spans="1:9" x14ac:dyDescent="0.3">
      <c r="A17" s="5" t="s">
        <v>47</v>
      </c>
      <c r="B17" s="20">
        <v>0.05</v>
      </c>
      <c r="I17" s="2" t="s">
        <v>48</v>
      </c>
    </row>
    <row r="18" spans="1:9" x14ac:dyDescent="0.3">
      <c r="A18" s="5" t="s">
        <v>49</v>
      </c>
      <c r="B18" s="10">
        <f>B14+B16*B17</f>
        <v>0.142205</v>
      </c>
      <c r="I18" s="2" t="s">
        <v>50</v>
      </c>
    </row>
    <row r="19" spans="1:9" x14ac:dyDescent="0.3">
      <c r="A19" s="5" t="s">
        <v>51</v>
      </c>
      <c r="B19" s="17">
        <v>5.5E-2</v>
      </c>
      <c r="I19" s="2" t="s">
        <v>52</v>
      </c>
    </row>
    <row r="20" spans="1:9" x14ac:dyDescent="0.3">
      <c r="A20" s="5" t="s">
        <v>53</v>
      </c>
      <c r="B20" s="17">
        <v>0.15</v>
      </c>
      <c r="I20" s="2" t="s">
        <v>54</v>
      </c>
    </row>
    <row r="21" spans="1:9" x14ac:dyDescent="0.3">
      <c r="A21" s="5" t="s">
        <v>55</v>
      </c>
      <c r="B21" s="21">
        <f>B5*B6</f>
        <v>1008029.48</v>
      </c>
      <c r="I21" s="2" t="s">
        <v>46</v>
      </c>
    </row>
    <row r="22" spans="1:9" x14ac:dyDescent="0.3">
      <c r="A22" s="5" t="s">
        <v>56</v>
      </c>
      <c r="B22" s="21">
        <f>B8+B9</f>
        <v>5179</v>
      </c>
      <c r="I22" s="2" t="s">
        <v>46</v>
      </c>
    </row>
    <row r="23" spans="1:9" x14ac:dyDescent="0.3">
      <c r="A23" s="5" t="s">
        <v>16</v>
      </c>
      <c r="B23" s="10">
        <f>(B21*B18+B22*B19*(1-B20))/(B21+B22)</f>
        <v>0.14171708319436885</v>
      </c>
      <c r="I23" s="2" t="s">
        <v>57</v>
      </c>
    </row>
    <row r="25" spans="1:9" x14ac:dyDescent="0.3">
      <c r="A25" s="1" t="s">
        <v>58</v>
      </c>
    </row>
    <row r="26" spans="1:9" x14ac:dyDescent="0.3">
      <c r="A26" s="5" t="s">
        <v>59</v>
      </c>
      <c r="B26" s="20">
        <v>0.03</v>
      </c>
      <c r="I26" s="2" t="s">
        <v>60</v>
      </c>
    </row>
    <row r="27" spans="1:9" x14ac:dyDescent="0.3">
      <c r="A27" s="5" t="s">
        <v>61</v>
      </c>
      <c r="B27" s="20">
        <v>0.15</v>
      </c>
      <c r="I27" s="2" t="s">
        <v>62</v>
      </c>
    </row>
    <row r="28" spans="1:9" x14ac:dyDescent="0.3">
      <c r="A28" s="5" t="s">
        <v>63</v>
      </c>
      <c r="B28" s="17">
        <v>0.1</v>
      </c>
      <c r="I28" s="2" t="s">
        <v>64</v>
      </c>
    </row>
    <row r="29" spans="1:9" x14ac:dyDescent="0.3">
      <c r="A29" s="5" t="s">
        <v>65</v>
      </c>
      <c r="B29" s="17">
        <v>0.2</v>
      </c>
      <c r="I29" s="2" t="s">
        <v>66</v>
      </c>
    </row>
    <row r="30" spans="1:9" x14ac:dyDescent="0.3">
      <c r="A30" s="5" t="s">
        <v>67</v>
      </c>
      <c r="B30" s="15">
        <v>133188</v>
      </c>
      <c r="I30" s="2" t="s">
        <v>68</v>
      </c>
    </row>
    <row r="31" spans="1:9" x14ac:dyDescent="0.3">
      <c r="A31" s="5" t="s">
        <v>69</v>
      </c>
      <c r="B31" s="15">
        <v>9503</v>
      </c>
      <c r="I31" s="2" t="s">
        <v>70</v>
      </c>
    </row>
    <row r="32" spans="1:9" x14ac:dyDescent="0.3">
      <c r="A32" s="5" t="s">
        <v>71</v>
      </c>
      <c r="B32" s="15">
        <v>27370</v>
      </c>
      <c r="I32" s="2" t="s">
        <v>72</v>
      </c>
    </row>
    <row r="34" spans="1:9" x14ac:dyDescent="0.3">
      <c r="A34" s="1" t="s">
        <v>73</v>
      </c>
    </row>
    <row r="35" spans="1:9" x14ac:dyDescent="0.3">
      <c r="A35" s="3"/>
      <c r="B35" s="4"/>
      <c r="C35" s="4" t="s">
        <v>74</v>
      </c>
      <c r="D35" s="4" t="s">
        <v>75</v>
      </c>
      <c r="E35" s="4" t="s">
        <v>76</v>
      </c>
      <c r="F35" s="4" t="s">
        <v>77</v>
      </c>
      <c r="G35" s="4" t="s">
        <v>78</v>
      </c>
    </row>
    <row r="37" spans="1:9" x14ac:dyDescent="0.3">
      <c r="A37" s="1" t="s">
        <v>79</v>
      </c>
      <c r="I37" s="2" t="s">
        <v>80</v>
      </c>
    </row>
    <row r="38" spans="1:9" x14ac:dyDescent="0.3">
      <c r="A38" s="5" t="s">
        <v>81</v>
      </c>
      <c r="C38" s="17">
        <v>0.6</v>
      </c>
      <c r="D38" s="17">
        <v>-0.45</v>
      </c>
      <c r="E38" s="17">
        <v>-0.35</v>
      </c>
      <c r="F38" s="17">
        <v>0.05</v>
      </c>
      <c r="G38" s="17">
        <v>0.08</v>
      </c>
      <c r="I38" s="2" t="s">
        <v>82</v>
      </c>
    </row>
    <row r="39" spans="1:9" x14ac:dyDescent="0.3">
      <c r="A39" s="5" t="s">
        <v>83</v>
      </c>
      <c r="C39" s="17">
        <v>0.72</v>
      </c>
      <c r="D39" s="17">
        <v>0.35</v>
      </c>
      <c r="E39" s="17">
        <v>0.1</v>
      </c>
      <c r="F39" s="17">
        <v>0.15</v>
      </c>
      <c r="G39" s="17">
        <v>0.2</v>
      </c>
    </row>
    <row r="40" spans="1:9" x14ac:dyDescent="0.3">
      <c r="A40" s="5" t="s">
        <v>84</v>
      </c>
      <c r="C40" s="15">
        <v>45000</v>
      </c>
      <c r="D40" s="15">
        <v>30000</v>
      </c>
      <c r="E40" s="15">
        <v>20000</v>
      </c>
      <c r="F40" s="15">
        <v>20000</v>
      </c>
      <c r="G40" s="15">
        <v>21000</v>
      </c>
    </row>
    <row r="41" spans="1:9" x14ac:dyDescent="0.3">
      <c r="A41" s="5" t="s">
        <v>85</v>
      </c>
      <c r="C41" s="20">
        <v>0.2</v>
      </c>
    </row>
    <row r="43" spans="1:9" x14ac:dyDescent="0.3">
      <c r="A43" s="1" t="s">
        <v>86</v>
      </c>
      <c r="I43" s="2" t="s">
        <v>87</v>
      </c>
    </row>
    <row r="44" spans="1:9" x14ac:dyDescent="0.3">
      <c r="A44" s="5" t="s">
        <v>81</v>
      </c>
      <c r="C44" s="17">
        <v>1.07</v>
      </c>
      <c r="D44" s="17">
        <v>0.16</v>
      </c>
      <c r="E44" s="17">
        <v>-0.25</v>
      </c>
      <c r="F44" s="17">
        <v>-0.3</v>
      </c>
      <c r="G44" s="17">
        <v>-0.1</v>
      </c>
      <c r="I44" s="2" t="s">
        <v>88</v>
      </c>
    </row>
    <row r="45" spans="1:9" x14ac:dyDescent="0.3">
      <c r="A45" s="5" t="s">
        <v>83</v>
      </c>
      <c r="C45" s="17">
        <v>0.8</v>
      </c>
      <c r="D45" s="17">
        <v>0.75</v>
      </c>
      <c r="E45" s="17">
        <v>0.55000000000000004</v>
      </c>
      <c r="F45" s="17">
        <v>0.4</v>
      </c>
      <c r="G45" s="17">
        <v>0.35</v>
      </c>
    </row>
    <row r="46" spans="1:9" x14ac:dyDescent="0.3">
      <c r="A46" s="5" t="s">
        <v>84</v>
      </c>
      <c r="C46" s="15">
        <v>50000</v>
      </c>
      <c r="D46" s="15">
        <v>60000</v>
      </c>
      <c r="E46" s="15">
        <v>50000</v>
      </c>
      <c r="F46" s="15">
        <v>45000</v>
      </c>
      <c r="G46" s="15">
        <v>42000</v>
      </c>
    </row>
    <row r="47" spans="1:9" x14ac:dyDescent="0.3">
      <c r="A47" s="5" t="s">
        <v>85</v>
      </c>
      <c r="C47" s="20">
        <v>0.35</v>
      </c>
    </row>
    <row r="49" spans="1:9" x14ac:dyDescent="0.3">
      <c r="A49" s="1" t="s">
        <v>89</v>
      </c>
      <c r="I49" s="2" t="s">
        <v>90</v>
      </c>
    </row>
    <row r="50" spans="1:9" x14ac:dyDescent="0.3">
      <c r="A50" s="5" t="s">
        <v>81</v>
      </c>
      <c r="C50" s="17">
        <v>1.1499999999999999</v>
      </c>
      <c r="D50" s="17">
        <v>0.25</v>
      </c>
      <c r="E50" s="17">
        <v>0.05</v>
      </c>
      <c r="F50" s="17">
        <v>-0.05</v>
      </c>
      <c r="G50" s="17">
        <v>0.03</v>
      </c>
    </row>
    <row r="51" spans="1:9" x14ac:dyDescent="0.3">
      <c r="A51" s="5" t="s">
        <v>83</v>
      </c>
      <c r="C51" s="17">
        <v>0.82</v>
      </c>
      <c r="D51" s="17">
        <v>0.8</v>
      </c>
      <c r="E51" s="17">
        <v>0.7</v>
      </c>
      <c r="F51" s="17">
        <v>0.6</v>
      </c>
      <c r="G51" s="17">
        <v>0.5</v>
      </c>
    </row>
    <row r="52" spans="1:9" x14ac:dyDescent="0.3">
      <c r="A52" s="5" t="s">
        <v>84</v>
      </c>
      <c r="C52" s="15">
        <v>55000</v>
      </c>
      <c r="D52" s="15">
        <v>70000</v>
      </c>
      <c r="E52" s="15">
        <v>70000</v>
      </c>
      <c r="F52" s="15">
        <v>65000</v>
      </c>
      <c r="G52" s="15">
        <v>65000</v>
      </c>
    </row>
    <row r="53" spans="1:9" x14ac:dyDescent="0.3">
      <c r="A53" s="5" t="s">
        <v>85</v>
      </c>
      <c r="C53" s="20">
        <v>0.5</v>
      </c>
    </row>
    <row r="55" spans="1:9" x14ac:dyDescent="0.3">
      <c r="A55" s="1" t="s">
        <v>91</v>
      </c>
    </row>
    <row r="56" spans="1:9" x14ac:dyDescent="0.3">
      <c r="A56" s="5" t="s">
        <v>92</v>
      </c>
      <c r="B56" s="20">
        <v>0.3</v>
      </c>
      <c r="I56" s="2" t="s">
        <v>93</v>
      </c>
    </row>
    <row r="57" spans="1:9" x14ac:dyDescent="0.3">
      <c r="A57" s="5" t="s">
        <v>94</v>
      </c>
      <c r="B57" s="20">
        <v>0.5</v>
      </c>
    </row>
    <row r="58" spans="1:9" x14ac:dyDescent="0.3">
      <c r="A58" s="5" t="s">
        <v>95</v>
      </c>
      <c r="B58" s="20">
        <v>0.2</v>
      </c>
    </row>
    <row r="59" spans="1:9" x14ac:dyDescent="0.3">
      <c r="A59" s="5" t="s">
        <v>96</v>
      </c>
      <c r="B59" s="10">
        <f>SUM(B56:B58)</f>
        <v>1</v>
      </c>
    </row>
    <row r="61" spans="1:9" x14ac:dyDescent="0.3">
      <c r="A61" s="1" t="s">
        <v>97</v>
      </c>
    </row>
    <row r="62" spans="1:9" x14ac:dyDescent="0.3">
      <c r="A62" s="5" t="s">
        <v>98</v>
      </c>
      <c r="B62" s="15">
        <v>275505</v>
      </c>
      <c r="I62" s="2" t="s">
        <v>99</v>
      </c>
    </row>
    <row r="63" spans="1:9" x14ac:dyDescent="0.3">
      <c r="A63" s="5" t="s">
        <v>100</v>
      </c>
      <c r="B63" s="15">
        <v>318882</v>
      </c>
    </row>
    <row r="64" spans="1:9" x14ac:dyDescent="0.3">
      <c r="A64" s="5" t="s">
        <v>101</v>
      </c>
      <c r="B64" s="14">
        <v>176.55</v>
      </c>
    </row>
    <row r="65" spans="1:2" x14ac:dyDescent="0.3">
      <c r="A65" s="5" t="s">
        <v>102</v>
      </c>
      <c r="B65" s="14">
        <v>206.89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14" width="10" customWidth="1"/>
  </cols>
  <sheetData>
    <row r="1" spans="1:14" x14ac:dyDescent="0.3">
      <c r="A1" s="1" t="s">
        <v>103</v>
      </c>
    </row>
    <row r="2" spans="1:14" x14ac:dyDescent="0.3">
      <c r="A2" s="2" t="s">
        <v>104</v>
      </c>
    </row>
    <row r="4" spans="1:14" x14ac:dyDescent="0.3">
      <c r="A4" s="3" t="s">
        <v>105</v>
      </c>
      <c r="B4" s="4" t="s">
        <v>106</v>
      </c>
      <c r="C4" s="4" t="s">
        <v>107</v>
      </c>
      <c r="D4" s="4" t="s">
        <v>108</v>
      </c>
      <c r="E4" s="4" t="s">
        <v>109</v>
      </c>
      <c r="F4" s="4" t="s">
        <v>110</v>
      </c>
      <c r="G4" s="4" t="s">
        <v>111</v>
      </c>
      <c r="H4" s="4" t="s">
        <v>112</v>
      </c>
      <c r="I4" s="4" t="s">
        <v>113</v>
      </c>
      <c r="J4" s="4" t="s">
        <v>114</v>
      </c>
      <c r="K4" s="4" t="s">
        <v>115</v>
      </c>
      <c r="L4" s="4" t="s">
        <v>116</v>
      </c>
      <c r="M4" s="4" t="s">
        <v>117</v>
      </c>
      <c r="N4" s="4" t="s">
        <v>118</v>
      </c>
    </row>
    <row r="5" spans="1:14" x14ac:dyDescent="0.3">
      <c r="A5" s="1" t="s">
        <v>119</v>
      </c>
      <c r="B5" s="15">
        <v>16358</v>
      </c>
      <c r="C5" s="15">
        <v>16192</v>
      </c>
      <c r="D5" s="15">
        <v>12399</v>
      </c>
      <c r="E5" s="15">
        <v>20322</v>
      </c>
      <c r="F5" s="15">
        <v>30391</v>
      </c>
      <c r="G5" s="15">
        <v>23406</v>
      </c>
      <c r="H5" s="15">
        <v>21435</v>
      </c>
      <c r="I5" s="15">
        <v>27705</v>
      </c>
      <c r="J5" s="15">
        <v>30758</v>
      </c>
      <c r="K5" s="15">
        <v>15540</v>
      </c>
      <c r="L5" s="15">
        <v>25111</v>
      </c>
      <c r="M5" s="15">
        <v>37378</v>
      </c>
      <c r="N5" s="15">
        <v>133188</v>
      </c>
    </row>
    <row r="6" spans="1:14" x14ac:dyDescent="0.3">
      <c r="A6" s="5" t="s">
        <v>120</v>
      </c>
      <c r="B6" s="15">
        <v>10921</v>
      </c>
      <c r="C6" s="15">
        <v>10977</v>
      </c>
      <c r="D6" s="15">
        <v>9894</v>
      </c>
      <c r="E6" s="15">
        <v>11886</v>
      </c>
      <c r="F6" s="15">
        <v>12500</v>
      </c>
      <c r="G6" s="15">
        <v>12704</v>
      </c>
      <c r="H6" s="15">
        <v>14883</v>
      </c>
      <c r="I6" s="15">
        <v>17282</v>
      </c>
      <c r="J6" s="15">
        <v>16860</v>
      </c>
      <c r="K6" s="15">
        <v>16956</v>
      </c>
      <c r="L6" s="15">
        <v>19498</v>
      </c>
      <c r="M6" s="15">
        <v>22505</v>
      </c>
      <c r="N6" s="15">
        <v>25684</v>
      </c>
    </row>
    <row r="7" spans="1:14" x14ac:dyDescent="0.3">
      <c r="A7" s="5" t="s">
        <v>121</v>
      </c>
      <c r="B7" s="21">
        <f t="shared" ref="B7:N7" si="0">B5-B6</f>
        <v>5437</v>
      </c>
      <c r="C7" s="21">
        <f t="shared" si="0"/>
        <v>5215</v>
      </c>
      <c r="D7" s="21">
        <f t="shared" si="0"/>
        <v>2505</v>
      </c>
      <c r="E7" s="21">
        <f t="shared" si="0"/>
        <v>8436</v>
      </c>
      <c r="F7" s="21">
        <f t="shared" si="0"/>
        <v>17891</v>
      </c>
      <c r="G7" s="21">
        <f t="shared" si="0"/>
        <v>10702</v>
      </c>
      <c r="H7" s="21">
        <f t="shared" si="0"/>
        <v>6552</v>
      </c>
      <c r="I7" s="21">
        <f t="shared" si="0"/>
        <v>10423</v>
      </c>
      <c r="J7" s="21">
        <f t="shared" si="0"/>
        <v>13898</v>
      </c>
      <c r="K7" s="21">
        <f t="shared" si="0"/>
        <v>-1416</v>
      </c>
      <c r="L7" s="21">
        <f t="shared" si="0"/>
        <v>5613</v>
      </c>
      <c r="M7" s="21">
        <f t="shared" si="0"/>
        <v>14873</v>
      </c>
      <c r="N7" s="21">
        <f t="shared" si="0"/>
        <v>107504</v>
      </c>
    </row>
    <row r="8" spans="1:14" x14ac:dyDescent="0.3">
      <c r="A8" s="5" t="s">
        <v>122</v>
      </c>
      <c r="B8" s="15">
        <v>1371</v>
      </c>
      <c r="C8" s="15">
        <v>1540</v>
      </c>
      <c r="D8" s="15">
        <v>1617</v>
      </c>
      <c r="E8" s="15">
        <v>1824</v>
      </c>
      <c r="F8" s="15">
        <v>2141</v>
      </c>
      <c r="G8" s="15">
        <v>2441</v>
      </c>
      <c r="H8" s="15">
        <v>2600</v>
      </c>
      <c r="I8" s="15">
        <v>2663</v>
      </c>
      <c r="J8" s="15">
        <v>3116</v>
      </c>
      <c r="K8" s="15">
        <v>3114</v>
      </c>
      <c r="L8" s="15">
        <v>3430</v>
      </c>
      <c r="M8" s="15">
        <v>3798</v>
      </c>
      <c r="N8" s="15">
        <v>5650</v>
      </c>
    </row>
    <row r="9" spans="1:14" x14ac:dyDescent="0.3">
      <c r="A9" s="5" t="s">
        <v>123</v>
      </c>
      <c r="B9" s="15">
        <v>707</v>
      </c>
      <c r="C9" s="15">
        <v>719</v>
      </c>
      <c r="D9" s="15">
        <v>659</v>
      </c>
      <c r="E9" s="15">
        <v>743</v>
      </c>
      <c r="F9" s="15">
        <v>813</v>
      </c>
      <c r="G9" s="15">
        <v>836</v>
      </c>
      <c r="H9" s="15">
        <v>881</v>
      </c>
      <c r="I9" s="15">
        <v>894</v>
      </c>
      <c r="J9" s="15">
        <v>1066</v>
      </c>
      <c r="K9" s="15">
        <v>920</v>
      </c>
      <c r="L9" s="15">
        <v>1129</v>
      </c>
      <c r="M9" s="15">
        <v>1205</v>
      </c>
      <c r="N9" s="15">
        <v>1947</v>
      </c>
    </row>
    <row r="10" spans="1:14" x14ac:dyDescent="0.3">
      <c r="A10" s="1" t="s">
        <v>124</v>
      </c>
      <c r="B10" s="15">
        <v>3087</v>
      </c>
      <c r="C10" s="15">
        <v>2998</v>
      </c>
      <c r="D10" s="15">
        <v>168</v>
      </c>
      <c r="E10" s="15">
        <v>5868</v>
      </c>
      <c r="F10" s="15">
        <v>14994</v>
      </c>
      <c r="G10" s="15">
        <v>7376</v>
      </c>
      <c r="H10" s="15">
        <v>3003</v>
      </c>
      <c r="I10" s="15">
        <v>6283</v>
      </c>
      <c r="J10" s="15">
        <v>9702</v>
      </c>
      <c r="K10" s="15">
        <v>-5745</v>
      </c>
      <c r="L10" s="15">
        <v>1304</v>
      </c>
      <c r="M10" s="15">
        <v>9770</v>
      </c>
      <c r="N10" s="15">
        <v>99340</v>
      </c>
    </row>
    <row r="11" spans="1:14" x14ac:dyDescent="0.3">
      <c r="A11" s="5" t="s">
        <v>125</v>
      </c>
      <c r="B11" s="15">
        <v>3045</v>
      </c>
      <c r="C11" s="15">
        <v>2899</v>
      </c>
      <c r="D11" s="15">
        <v>-276</v>
      </c>
      <c r="E11" s="15">
        <v>5089</v>
      </c>
      <c r="F11" s="15">
        <v>14135</v>
      </c>
      <c r="G11" s="15">
        <v>6313</v>
      </c>
      <c r="H11" s="15">
        <v>2687</v>
      </c>
      <c r="I11" s="15">
        <v>5861</v>
      </c>
      <c r="J11" s="15">
        <v>8687</v>
      </c>
      <c r="K11" s="15">
        <v>-5833</v>
      </c>
      <c r="L11" s="15">
        <v>778</v>
      </c>
      <c r="M11" s="15">
        <v>8539</v>
      </c>
      <c r="N11" s="15">
        <v>84969</v>
      </c>
    </row>
    <row r="12" spans="1:14" x14ac:dyDescent="0.3">
      <c r="A12" s="5" t="s">
        <v>126</v>
      </c>
      <c r="B12" s="15">
        <v>2270</v>
      </c>
      <c r="C12" s="15">
        <v>2805</v>
      </c>
      <c r="D12" s="15">
        <v>2980</v>
      </c>
      <c r="E12" s="15">
        <v>3861</v>
      </c>
      <c r="F12" s="15">
        <v>4759</v>
      </c>
      <c r="G12" s="15">
        <v>5424</v>
      </c>
      <c r="H12" s="15">
        <v>5650</v>
      </c>
      <c r="I12" s="15">
        <v>6214</v>
      </c>
      <c r="J12" s="15">
        <v>7116</v>
      </c>
      <c r="K12" s="15">
        <v>7756</v>
      </c>
      <c r="L12" s="15">
        <v>7780</v>
      </c>
      <c r="M12" s="15">
        <v>8352</v>
      </c>
      <c r="N12" s="15">
        <v>9503</v>
      </c>
    </row>
    <row r="13" spans="1:14" x14ac:dyDescent="0.3">
      <c r="A13" s="5" t="s">
        <v>127</v>
      </c>
      <c r="B13" s="15">
        <v>115</v>
      </c>
      <c r="C13" s="15">
        <v>168</v>
      </c>
      <c r="D13" s="15">
        <v>191</v>
      </c>
      <c r="E13" s="15">
        <v>215</v>
      </c>
      <c r="F13" s="15">
        <v>198</v>
      </c>
      <c r="G13" s="15">
        <v>243</v>
      </c>
      <c r="H13" s="15">
        <v>328</v>
      </c>
      <c r="I13" s="15">
        <v>378</v>
      </c>
      <c r="J13" s="15">
        <v>514</v>
      </c>
      <c r="K13" s="15">
        <v>596</v>
      </c>
      <c r="L13" s="15">
        <v>833</v>
      </c>
      <c r="M13" s="15">
        <v>972</v>
      </c>
      <c r="N13" s="15">
        <v>1333</v>
      </c>
    </row>
    <row r="14" spans="1:14" x14ac:dyDescent="0.3">
      <c r="A14" s="5" t="s">
        <v>128</v>
      </c>
      <c r="C14" s="15">
        <v>5208</v>
      </c>
      <c r="D14" s="15">
        <v>3168</v>
      </c>
      <c r="E14" s="15">
        <v>8153</v>
      </c>
      <c r="F14" s="15">
        <v>17400</v>
      </c>
      <c r="G14" s="15">
        <v>13189</v>
      </c>
      <c r="H14" s="15">
        <v>8306</v>
      </c>
      <c r="I14" s="15">
        <v>12468</v>
      </c>
      <c r="J14" s="15">
        <v>15181</v>
      </c>
      <c r="K14" s="15">
        <v>1559</v>
      </c>
      <c r="L14" s="15">
        <v>8507</v>
      </c>
      <c r="M14" s="15">
        <v>17525</v>
      </c>
      <c r="N14" s="15">
        <v>89675</v>
      </c>
    </row>
    <row r="15" spans="1:14" x14ac:dyDescent="0.3">
      <c r="A15" s="5" t="s">
        <v>129</v>
      </c>
      <c r="B15" s="15">
        <v>3107</v>
      </c>
      <c r="C15" s="15">
        <v>4021</v>
      </c>
      <c r="D15" s="15">
        <v>5817</v>
      </c>
      <c r="E15" s="15">
        <v>4734</v>
      </c>
      <c r="F15" s="15">
        <v>8879</v>
      </c>
      <c r="G15" s="15">
        <v>9780</v>
      </c>
      <c r="H15" s="15">
        <v>8223</v>
      </c>
      <c r="I15" s="15">
        <v>10030</v>
      </c>
      <c r="J15" s="15">
        <v>12067</v>
      </c>
      <c r="K15" s="15">
        <v>7676</v>
      </c>
      <c r="L15" s="15">
        <v>8386</v>
      </c>
      <c r="M15" s="15">
        <v>15857</v>
      </c>
      <c r="N15" s="15">
        <v>30712</v>
      </c>
    </row>
    <row r="16" spans="1:14" x14ac:dyDescent="0.3">
      <c r="A16" s="1" t="s">
        <v>130</v>
      </c>
      <c r="B16" s="21" t="str">
        <f t="shared" ref="B16:N16" si="1">IF(B14="","",B14-B15)</f>
        <v/>
      </c>
      <c r="C16" s="21">
        <f t="shared" si="1"/>
        <v>1187</v>
      </c>
      <c r="D16" s="21">
        <f t="shared" si="1"/>
        <v>-2649</v>
      </c>
      <c r="E16" s="21">
        <f t="shared" si="1"/>
        <v>3419</v>
      </c>
      <c r="F16" s="21">
        <f t="shared" si="1"/>
        <v>8521</v>
      </c>
      <c r="G16" s="21">
        <f t="shared" si="1"/>
        <v>3409</v>
      </c>
      <c r="H16" s="21">
        <f t="shared" si="1"/>
        <v>83</v>
      </c>
      <c r="I16" s="21">
        <f t="shared" si="1"/>
        <v>2438</v>
      </c>
      <c r="J16" s="21">
        <f t="shared" si="1"/>
        <v>3114</v>
      </c>
      <c r="K16" s="21">
        <f t="shared" si="1"/>
        <v>-6117</v>
      </c>
      <c r="L16" s="21">
        <f t="shared" si="1"/>
        <v>121</v>
      </c>
      <c r="M16" s="21">
        <f t="shared" si="1"/>
        <v>1668</v>
      </c>
      <c r="N16" s="21">
        <f t="shared" si="1"/>
        <v>58963</v>
      </c>
    </row>
    <row r="17" spans="1:14" x14ac:dyDescent="0.3">
      <c r="A17" s="5" t="s">
        <v>28</v>
      </c>
      <c r="B17" s="15">
        <v>1198</v>
      </c>
      <c r="C17" s="15">
        <v>1170</v>
      </c>
      <c r="D17" s="15">
        <v>1036</v>
      </c>
      <c r="E17" s="15">
        <v>1154</v>
      </c>
      <c r="F17" s="15">
        <v>1229</v>
      </c>
      <c r="G17" s="15">
        <v>1143</v>
      </c>
      <c r="H17" s="15">
        <v>1131</v>
      </c>
      <c r="I17" s="15">
        <v>1141</v>
      </c>
      <c r="J17" s="15">
        <v>1122</v>
      </c>
      <c r="K17" s="15">
        <v>1093</v>
      </c>
      <c r="L17" s="15">
        <v>1118</v>
      </c>
      <c r="M17" s="15">
        <v>1125</v>
      </c>
      <c r="N17" s="15">
        <v>1143</v>
      </c>
    </row>
    <row r="18" spans="1:14" x14ac:dyDescent="0.3">
      <c r="A18" s="5" t="s">
        <v>131</v>
      </c>
      <c r="B18" s="22">
        <f t="shared" ref="B18:N18" si="2">B11/B17</f>
        <v>2.541736227045075</v>
      </c>
      <c r="C18" s="22">
        <f t="shared" si="2"/>
        <v>2.4777777777777779</v>
      </c>
      <c r="D18" s="22">
        <f t="shared" si="2"/>
        <v>-0.26640926640926643</v>
      </c>
      <c r="E18" s="22">
        <f t="shared" si="2"/>
        <v>4.4098786828422876</v>
      </c>
      <c r="F18" s="22">
        <f t="shared" si="2"/>
        <v>11.501220504475183</v>
      </c>
      <c r="G18" s="22">
        <f t="shared" si="2"/>
        <v>5.5231846019247595</v>
      </c>
      <c r="H18" s="22">
        <f t="shared" si="2"/>
        <v>2.3757736516357206</v>
      </c>
      <c r="I18" s="22">
        <f t="shared" si="2"/>
        <v>5.1367221735319895</v>
      </c>
      <c r="J18" s="22">
        <f t="shared" si="2"/>
        <v>7.7424242424242422</v>
      </c>
      <c r="K18" s="22">
        <f t="shared" si="2"/>
        <v>-5.3366880146386091</v>
      </c>
      <c r="L18" s="22">
        <f t="shared" si="2"/>
        <v>0.69588550983899822</v>
      </c>
      <c r="M18" s="22">
        <f t="shared" si="2"/>
        <v>7.5902222222222226</v>
      </c>
      <c r="N18" s="22">
        <f t="shared" si="2"/>
        <v>74.338582677165348</v>
      </c>
    </row>
    <row r="19" spans="1:14" x14ac:dyDescent="0.3">
      <c r="A19" s="5"/>
    </row>
    <row r="20" spans="1:14" x14ac:dyDescent="0.3">
      <c r="A20" s="5" t="s">
        <v>132</v>
      </c>
      <c r="B20" s="10">
        <f t="shared" ref="B20:N20" si="3">B7/B5</f>
        <v>0.33237559603863553</v>
      </c>
      <c r="C20" s="10">
        <f t="shared" si="3"/>
        <v>0.32207262845849804</v>
      </c>
      <c r="D20" s="10">
        <f t="shared" si="3"/>
        <v>0.20203242196951368</v>
      </c>
      <c r="E20" s="10">
        <f t="shared" si="3"/>
        <v>0.41511662237968705</v>
      </c>
      <c r="F20" s="10">
        <f t="shared" si="3"/>
        <v>0.588694021256293</v>
      </c>
      <c r="G20" s="10">
        <f t="shared" si="3"/>
        <v>0.45723318807143465</v>
      </c>
      <c r="H20" s="10">
        <f t="shared" si="3"/>
        <v>0.30566829951014696</v>
      </c>
      <c r="I20" s="10">
        <f t="shared" si="3"/>
        <v>0.37621367984118392</v>
      </c>
      <c r="J20" s="10">
        <f t="shared" si="3"/>
        <v>0.45184992522270628</v>
      </c>
      <c r="K20" s="10">
        <f t="shared" si="3"/>
        <v>-9.1119691119691121E-2</v>
      </c>
      <c r="L20" s="10">
        <f t="shared" si="3"/>
        <v>0.22352753773246783</v>
      </c>
      <c r="M20" s="10">
        <f t="shared" si="3"/>
        <v>0.39790786023864305</v>
      </c>
      <c r="N20" s="10">
        <f t="shared" si="3"/>
        <v>0.8071598041865633</v>
      </c>
    </row>
    <row r="21" spans="1:14" x14ac:dyDescent="0.3">
      <c r="A21" s="5" t="s">
        <v>133</v>
      </c>
      <c r="B21" s="10">
        <f t="shared" ref="B21:N21" si="4">B10/B5</f>
        <v>0.18871500183396503</v>
      </c>
      <c r="C21" s="10">
        <f t="shared" si="4"/>
        <v>0.18515316205533597</v>
      </c>
      <c r="D21" s="10">
        <f t="shared" si="4"/>
        <v>1.3549479796757804E-2</v>
      </c>
      <c r="E21" s="10">
        <f t="shared" si="4"/>
        <v>0.28875110717449071</v>
      </c>
      <c r="F21" s="10">
        <f t="shared" si="4"/>
        <v>0.49336974762265146</v>
      </c>
      <c r="G21" s="10">
        <f t="shared" si="4"/>
        <v>0.31513287191318468</v>
      </c>
      <c r="H21" s="10">
        <f t="shared" si="4"/>
        <v>0.14009797060881735</v>
      </c>
      <c r="I21" s="10">
        <f t="shared" si="4"/>
        <v>0.22678216928352282</v>
      </c>
      <c r="J21" s="10">
        <f t="shared" si="4"/>
        <v>0.31543013199817932</v>
      </c>
      <c r="K21" s="10">
        <f t="shared" si="4"/>
        <v>-0.36969111969111967</v>
      </c>
      <c r="L21" s="10">
        <f t="shared" si="4"/>
        <v>5.192943331607662E-2</v>
      </c>
      <c r="M21" s="10">
        <f t="shared" si="4"/>
        <v>0.26138370164267749</v>
      </c>
      <c r="N21" s="10">
        <f t="shared" si="4"/>
        <v>0.7458629906598192</v>
      </c>
    </row>
    <row r="22" spans="1:14" x14ac:dyDescent="0.3">
      <c r="A22" s="5" t="s">
        <v>134</v>
      </c>
      <c r="B22" s="10" t="str">
        <f t="shared" ref="B22:N22" si="5">IF(B16="","",B16/B5)</f>
        <v/>
      </c>
      <c r="C22" s="10">
        <f t="shared" si="5"/>
        <v>7.3307806324110672E-2</v>
      </c>
      <c r="D22" s="10">
        <f t="shared" si="5"/>
        <v>-0.21364626179530607</v>
      </c>
      <c r="E22" s="10">
        <f t="shared" si="5"/>
        <v>0.1682413148312174</v>
      </c>
      <c r="F22" s="10">
        <f t="shared" si="5"/>
        <v>0.28037905959001019</v>
      </c>
      <c r="G22" s="10">
        <f t="shared" si="5"/>
        <v>0.14564641544903018</v>
      </c>
      <c r="H22" s="10">
        <f t="shared" si="5"/>
        <v>3.8721716818287846E-3</v>
      </c>
      <c r="I22" s="10">
        <f t="shared" si="5"/>
        <v>8.7998556217289303E-2</v>
      </c>
      <c r="J22" s="10">
        <f t="shared" si="5"/>
        <v>0.10124195331295922</v>
      </c>
      <c r="K22" s="10">
        <f t="shared" si="5"/>
        <v>-0.39362934362934365</v>
      </c>
      <c r="L22" s="10">
        <f t="shared" si="5"/>
        <v>4.8186053920592567E-3</v>
      </c>
      <c r="M22" s="10">
        <f t="shared" si="5"/>
        <v>4.4625180587511373E-2</v>
      </c>
      <c r="N22" s="10">
        <f t="shared" si="5"/>
        <v>0.44270504850286813</v>
      </c>
    </row>
    <row r="23" spans="1:14" x14ac:dyDescent="0.3">
      <c r="A23" s="5" t="s">
        <v>135</v>
      </c>
      <c r="B23" s="10">
        <f t="shared" ref="B23:N23" si="6">B15/B5</f>
        <v>0.18993764518889839</v>
      </c>
      <c r="C23" s="10">
        <f t="shared" si="6"/>
        <v>0.24833250988142291</v>
      </c>
      <c r="D23" s="10">
        <f t="shared" si="6"/>
        <v>0.46915073796273893</v>
      </c>
      <c r="E23" s="10">
        <f t="shared" si="6"/>
        <v>0.2329495128432241</v>
      </c>
      <c r="F23" s="10">
        <f t="shared" si="6"/>
        <v>0.29215886282122999</v>
      </c>
      <c r="G23" s="10">
        <f t="shared" si="6"/>
        <v>0.41784157908228658</v>
      </c>
      <c r="H23" s="10">
        <f t="shared" si="6"/>
        <v>0.38362491252624215</v>
      </c>
      <c r="I23" s="10">
        <f t="shared" si="6"/>
        <v>0.36202851470853636</v>
      </c>
      <c r="J23" s="10">
        <f t="shared" si="6"/>
        <v>0.39232069705442485</v>
      </c>
      <c r="K23" s="10">
        <f t="shared" si="6"/>
        <v>0.49395109395109393</v>
      </c>
      <c r="L23" s="10">
        <f t="shared" si="6"/>
        <v>0.33395722989924737</v>
      </c>
      <c r="M23" s="10">
        <f t="shared" si="6"/>
        <v>0.42423350634062817</v>
      </c>
      <c r="N23" s="10">
        <f t="shared" si="6"/>
        <v>0.23059134456557648</v>
      </c>
    </row>
    <row r="26" spans="1:14" x14ac:dyDescent="0.3">
      <c r="A26" s="1" t="s">
        <v>136</v>
      </c>
    </row>
    <row r="27" spans="1:14" x14ac:dyDescent="0.3">
      <c r="A27" s="5" t="s">
        <v>137</v>
      </c>
      <c r="B27" s="10">
        <f>AVERAGE(C21:M21)</f>
        <v>0.17471715052005224</v>
      </c>
    </row>
    <row r="28" spans="1:14" x14ac:dyDescent="0.3">
      <c r="A28" s="5" t="s">
        <v>138</v>
      </c>
      <c r="B28" s="10">
        <f>MIN(C21:M21)</f>
        <v>-0.36969111969111967</v>
      </c>
    </row>
    <row r="29" spans="1:14" x14ac:dyDescent="0.3">
      <c r="A29" s="5" t="s">
        <v>139</v>
      </c>
      <c r="B29" s="10">
        <f>MAX(C21:M21)</f>
        <v>0.49336974762265146</v>
      </c>
    </row>
    <row r="30" spans="1:14" x14ac:dyDescent="0.3">
      <c r="A30" s="5" t="s">
        <v>140</v>
      </c>
      <c r="B30" s="10">
        <f>N21</f>
        <v>0.7458629906598192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showGridLines="0" workbookViewId="0"/>
  </sheetViews>
  <sheetFormatPr baseColWidth="10" defaultColWidth="8.88671875" defaultRowHeight="14.4" x14ac:dyDescent="0.3"/>
  <cols>
    <col min="1" max="1" width="42" customWidth="1"/>
    <col min="2" max="8" width="12" customWidth="1"/>
  </cols>
  <sheetData>
    <row r="1" spans="1:8" x14ac:dyDescent="0.3">
      <c r="A1" s="1" t="s">
        <v>141</v>
      </c>
    </row>
    <row r="3" spans="1:8" x14ac:dyDescent="0.3">
      <c r="A3" s="1" t="s">
        <v>79</v>
      </c>
    </row>
    <row r="4" spans="1:8" x14ac:dyDescent="0.3">
      <c r="A4" s="3" t="s">
        <v>105</v>
      </c>
      <c r="B4" s="4"/>
      <c r="C4" s="4" t="s">
        <v>142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</row>
    <row r="5" spans="1:8" x14ac:dyDescent="0.3">
      <c r="A5" s="1" t="s">
        <v>119</v>
      </c>
      <c r="C5" s="6">
        <f>Inputs!$B$30</f>
        <v>133188</v>
      </c>
      <c r="D5" s="21">
        <f>C5*(1+D6)</f>
        <v>213100.80000000002</v>
      </c>
      <c r="E5" s="21">
        <f>D5*(1+E6)</f>
        <v>117205.44000000002</v>
      </c>
      <c r="F5" s="21">
        <f>E5*(1+F6)</f>
        <v>76183.536000000007</v>
      </c>
      <c r="G5" s="21">
        <f>F5*(1+G6)</f>
        <v>79992.712800000008</v>
      </c>
      <c r="H5" s="21">
        <f>G5*(1+H6)</f>
        <v>86392.129824000018</v>
      </c>
    </row>
    <row r="6" spans="1:8" x14ac:dyDescent="0.3">
      <c r="A6" s="5" t="s">
        <v>143</v>
      </c>
      <c r="D6" s="7">
        <f>Inputs!C38</f>
        <v>0.6</v>
      </c>
      <c r="E6" s="7">
        <f>Inputs!D38</f>
        <v>-0.45</v>
      </c>
      <c r="F6" s="7">
        <f>Inputs!E38</f>
        <v>-0.35</v>
      </c>
      <c r="G6" s="7">
        <f>Inputs!F38</f>
        <v>0.05</v>
      </c>
      <c r="H6" s="7">
        <f>Inputs!G38</f>
        <v>0.08</v>
      </c>
    </row>
    <row r="7" spans="1:8" x14ac:dyDescent="0.3">
      <c r="A7" s="5" t="s">
        <v>133</v>
      </c>
      <c r="C7" s="10">
        <f>C8/C5</f>
        <v>0.7458629906598192</v>
      </c>
      <c r="D7" s="7">
        <f>Inputs!C39</f>
        <v>0.72</v>
      </c>
      <c r="E7" s="7">
        <f>Inputs!D39</f>
        <v>0.35</v>
      </c>
      <c r="F7" s="7">
        <f>Inputs!E39</f>
        <v>0.1</v>
      </c>
      <c r="G7" s="7">
        <f>Inputs!F39</f>
        <v>0.15</v>
      </c>
      <c r="H7" s="7">
        <f>Inputs!G39</f>
        <v>0.2</v>
      </c>
    </row>
    <row r="8" spans="1:8" x14ac:dyDescent="0.3">
      <c r="A8" s="5" t="s">
        <v>144</v>
      </c>
      <c r="C8" s="6">
        <f>Historical!N10</f>
        <v>99340</v>
      </c>
      <c r="D8" s="21">
        <f>D5*D7</f>
        <v>153432.576</v>
      </c>
      <c r="E8" s="21">
        <f>E5*E7</f>
        <v>41021.904000000002</v>
      </c>
      <c r="F8" s="21">
        <f>F5*F7</f>
        <v>7618.3536000000013</v>
      </c>
      <c r="G8" s="21">
        <f>G5*G7</f>
        <v>11998.906920000001</v>
      </c>
      <c r="H8" s="21">
        <f>H5*H7</f>
        <v>17278.425964800004</v>
      </c>
    </row>
    <row r="9" spans="1:8" x14ac:dyDescent="0.3">
      <c r="A9" s="5" t="s">
        <v>145</v>
      </c>
      <c r="D9" s="21">
        <f>-D8*Inputs!$B$20</f>
        <v>-23014.886399999999</v>
      </c>
      <c r="E9" s="21">
        <f>-E8*Inputs!$B$20</f>
        <v>-6153.2856000000002</v>
      </c>
      <c r="F9" s="21">
        <f>-F8*Inputs!$B$20</f>
        <v>-1142.7530400000001</v>
      </c>
      <c r="G9" s="21">
        <f>-G8*Inputs!$B$20</f>
        <v>-1799.8360380000001</v>
      </c>
      <c r="H9" s="21">
        <f>-H8*Inputs!$B$20</f>
        <v>-2591.7638947200007</v>
      </c>
    </row>
    <row r="10" spans="1:8" x14ac:dyDescent="0.3">
      <c r="A10" s="5" t="s">
        <v>146</v>
      </c>
      <c r="D10" s="21">
        <f>D8+D9</f>
        <v>130417.6896</v>
      </c>
      <c r="E10" s="21">
        <f>E8+E9</f>
        <v>34868.618399999999</v>
      </c>
      <c r="F10" s="21">
        <f>F8+F9</f>
        <v>6475.6005600000008</v>
      </c>
      <c r="G10" s="21">
        <f>G8+G9</f>
        <v>10199.070882000002</v>
      </c>
      <c r="H10" s="21">
        <f>H8+H9</f>
        <v>14686.662070080003</v>
      </c>
    </row>
    <row r="11" spans="1:8" x14ac:dyDescent="0.3">
      <c r="A11" s="5" t="s">
        <v>126</v>
      </c>
      <c r="C11" s="6">
        <f>Inputs!$B$31</f>
        <v>9503</v>
      </c>
      <c r="D11" s="21">
        <f>C11+Inputs!$B$29*(C12-C11)</f>
        <v>13076.4</v>
      </c>
      <c r="E11" s="21">
        <f>D11+Inputs!$B$29*(D12-D11)</f>
        <v>19461.12</v>
      </c>
      <c r="F11" s="21">
        <f>E11+Inputs!$B$29*(E12-E11)</f>
        <v>21568.896000000001</v>
      </c>
      <c r="G11" s="21">
        <f>F11+Inputs!$B$29*(F12-F11)</f>
        <v>21255.1168</v>
      </c>
      <c r="H11" s="21">
        <f>G11+Inputs!$B$29*(G12-G11)</f>
        <v>21004.093440000001</v>
      </c>
    </row>
    <row r="12" spans="1:8" x14ac:dyDescent="0.3">
      <c r="A12" s="5" t="s">
        <v>147</v>
      </c>
      <c r="C12" s="6">
        <f>Inputs!$B$32</f>
        <v>27370</v>
      </c>
      <c r="D12" s="6">
        <f>Inputs!C40</f>
        <v>45000</v>
      </c>
      <c r="E12" s="6">
        <f>Inputs!D40</f>
        <v>30000</v>
      </c>
      <c r="F12" s="6">
        <f>Inputs!E40</f>
        <v>20000</v>
      </c>
      <c r="G12" s="6">
        <f>Inputs!F40</f>
        <v>20000</v>
      </c>
      <c r="H12" s="6">
        <f>Inputs!G40</f>
        <v>21000</v>
      </c>
    </row>
    <row r="13" spans="1:8" x14ac:dyDescent="0.3">
      <c r="A13" s="5" t="s">
        <v>148</v>
      </c>
      <c r="D13" s="21">
        <f>Inputs!$B$28*(D5-C5)</f>
        <v>7991.2800000000025</v>
      </c>
      <c r="E13" s="21">
        <f>Inputs!$B$28*(E5-D5)</f>
        <v>-9589.5360000000001</v>
      </c>
      <c r="F13" s="21">
        <f>Inputs!$B$28*(F5-E5)</f>
        <v>-4102.1904000000013</v>
      </c>
      <c r="G13" s="21">
        <f>Inputs!$B$28*(G5-F5)</f>
        <v>380.91768000000013</v>
      </c>
      <c r="H13" s="21">
        <f>Inputs!$B$28*(H5-G5)</f>
        <v>639.94170240000096</v>
      </c>
    </row>
    <row r="14" spans="1:8" x14ac:dyDescent="0.3">
      <c r="A14" s="1" t="s">
        <v>149</v>
      </c>
      <c r="D14" s="23">
        <f>D10+D11-D12-D13</f>
        <v>90502.809600000008</v>
      </c>
      <c r="E14" s="23">
        <f>E10+E11-E12-E13</f>
        <v>33919.274400000002</v>
      </c>
      <c r="F14" s="23">
        <f>F10+F11-F12-F13</f>
        <v>12146.686960000001</v>
      </c>
      <c r="G14" s="23">
        <f>G10+G11-G12-G13</f>
        <v>11073.270002000003</v>
      </c>
      <c r="H14" s="23">
        <f>H10+H11-H12-H13</f>
        <v>14050.813807680001</v>
      </c>
    </row>
    <row r="15" spans="1:8" x14ac:dyDescent="0.3">
      <c r="A15" s="5" t="s">
        <v>150</v>
      </c>
      <c r="D15" s="24">
        <v>1</v>
      </c>
      <c r="E15" s="24">
        <v>2</v>
      </c>
      <c r="F15" s="24">
        <v>3</v>
      </c>
      <c r="G15" s="24">
        <v>4</v>
      </c>
      <c r="H15" s="24">
        <v>5</v>
      </c>
    </row>
    <row r="16" spans="1:8" x14ac:dyDescent="0.3">
      <c r="A16" s="5" t="s">
        <v>151</v>
      </c>
      <c r="D16" s="25">
        <f>1/(1+Inputs!$B$23)^D15</f>
        <v>0.87587372977037037</v>
      </c>
      <c r="E16" s="25">
        <f>1/(1+Inputs!$B$23)^E15</f>
        <v>0.76715479050185975</v>
      </c>
      <c r="F16" s="25">
        <f>1/(1+Inputs!$B$23)^F15</f>
        <v>0.67193072766807094</v>
      </c>
      <c r="G16" s="25">
        <f>1/(1+Inputs!$B$23)^G15</f>
        <v>0.58852647258995228</v>
      </c>
      <c r="H16" s="25">
        <f>1/(1+Inputs!$B$23)^H15</f>
        <v>0.51547487661596114</v>
      </c>
    </row>
    <row r="17" spans="1:8" x14ac:dyDescent="0.3">
      <c r="A17" s="5" t="s">
        <v>152</v>
      </c>
      <c r="D17" s="21">
        <f>D14*D16</f>
        <v>79269.033399049687</v>
      </c>
      <c r="E17" s="21">
        <f>E14*E16</f>
        <v>26021.333846307098</v>
      </c>
      <c r="F17" s="21">
        <f>F14*F16</f>
        <v>8161.7322077890694</v>
      </c>
      <c r="G17" s="21">
        <f>G14*G16</f>
        <v>6516.9125343131955</v>
      </c>
      <c r="H17" s="21">
        <f>H14*H16</f>
        <v>7242.841513867691</v>
      </c>
    </row>
    <row r="19" spans="1:8" x14ac:dyDescent="0.3">
      <c r="A19" s="5" t="s">
        <v>8</v>
      </c>
      <c r="C19" s="7">
        <f>Inputs!C41</f>
        <v>0.2</v>
      </c>
    </row>
    <row r="20" spans="1:8" x14ac:dyDescent="0.3">
      <c r="A20" s="5" t="s">
        <v>153</v>
      </c>
      <c r="C20" s="21">
        <f>H5*(1+Inputs!$B$26)*C19*(1-Inputs!$B$20)</f>
        <v>15127.261932182404</v>
      </c>
    </row>
    <row r="21" spans="1:8" x14ac:dyDescent="0.3">
      <c r="A21" s="5" t="s">
        <v>154</v>
      </c>
      <c r="C21" s="10">
        <f>Inputs!$B$26/Inputs!$B$27</f>
        <v>0.2</v>
      </c>
    </row>
    <row r="22" spans="1:8" x14ac:dyDescent="0.3">
      <c r="A22" s="5" t="s">
        <v>155</v>
      </c>
      <c r="C22" s="21">
        <f>C20*(1-C21)</f>
        <v>12101.809545745924</v>
      </c>
    </row>
    <row r="23" spans="1:8" x14ac:dyDescent="0.3">
      <c r="A23" s="5" t="s">
        <v>156</v>
      </c>
      <c r="C23" s="21">
        <f>C22/(Inputs!$B$23-Inputs!$B$26)</f>
        <v>108325.50581982901</v>
      </c>
    </row>
    <row r="24" spans="1:8" x14ac:dyDescent="0.3">
      <c r="A24" s="5" t="s">
        <v>157</v>
      </c>
      <c r="C24" s="21">
        <f>C23*H16</f>
        <v>55839.076746837934</v>
      </c>
    </row>
    <row r="25" spans="1:8" x14ac:dyDescent="0.3">
      <c r="A25" s="5" t="s">
        <v>158</v>
      </c>
      <c r="C25" s="21">
        <f>SUM(D17:H17)</f>
        <v>127211.85350132674</v>
      </c>
    </row>
    <row r="26" spans="1:8" x14ac:dyDescent="0.3">
      <c r="A26" s="1" t="s">
        <v>9</v>
      </c>
      <c r="C26" s="23">
        <f>C24+C25</f>
        <v>183050.93024816469</v>
      </c>
    </row>
    <row r="27" spans="1:8" x14ac:dyDescent="0.3">
      <c r="A27" s="5" t="s">
        <v>159</v>
      </c>
      <c r="C27" s="6">
        <f>Inputs!$B$7</f>
        <v>73480</v>
      </c>
    </row>
    <row r="28" spans="1:8" x14ac:dyDescent="0.3">
      <c r="A28" s="5" t="s">
        <v>160</v>
      </c>
      <c r="C28" s="6">
        <f>-Inputs!$B$22</f>
        <v>-5179</v>
      </c>
    </row>
    <row r="29" spans="1:8" x14ac:dyDescent="0.3">
      <c r="A29" s="5" t="s">
        <v>161</v>
      </c>
      <c r="C29" s="6">
        <f>-Inputs!$B$10*Inputs!$B$11</f>
        <v>-12747</v>
      </c>
    </row>
    <row r="30" spans="1:8" x14ac:dyDescent="0.3">
      <c r="A30" s="1" t="s">
        <v>10</v>
      </c>
      <c r="C30" s="23">
        <f>SUM(C26:C29)</f>
        <v>238604.93024816469</v>
      </c>
    </row>
    <row r="31" spans="1:8" x14ac:dyDescent="0.3">
      <c r="A31" s="1" t="s">
        <v>11</v>
      </c>
      <c r="C31" s="9">
        <f>C30/Inputs!$B$6</f>
        <v>208.02522253545308</v>
      </c>
    </row>
    <row r="32" spans="1:8" x14ac:dyDescent="0.3">
      <c r="A32" s="5" t="s">
        <v>162</v>
      </c>
      <c r="C32" s="10">
        <f>C31/Inputs!$B$5-1</f>
        <v>-0.76329568233642864</v>
      </c>
    </row>
    <row r="33" spans="1:8" x14ac:dyDescent="0.3">
      <c r="A33" s="5" t="s">
        <v>13</v>
      </c>
      <c r="C33" s="10">
        <f>C24/C26</f>
        <v>0.30504667018701365</v>
      </c>
    </row>
    <row r="34" spans="1:8" x14ac:dyDescent="0.3">
      <c r="A34" s="5" t="s">
        <v>163</v>
      </c>
      <c r="C34" s="26">
        <f>C26/D8</f>
        <v>1.1930382388167993</v>
      </c>
    </row>
    <row r="37" spans="1:8" x14ac:dyDescent="0.3">
      <c r="A37" s="1" t="s">
        <v>86</v>
      </c>
    </row>
    <row r="38" spans="1:8" x14ac:dyDescent="0.3">
      <c r="A38" s="3" t="s">
        <v>105</v>
      </c>
      <c r="B38" s="4"/>
      <c r="C38" s="4" t="s">
        <v>142</v>
      </c>
      <c r="D38" s="4" t="s">
        <v>74</v>
      </c>
      <c r="E38" s="4" t="s">
        <v>75</v>
      </c>
      <c r="F38" s="4" t="s">
        <v>76</v>
      </c>
      <c r="G38" s="4" t="s">
        <v>77</v>
      </c>
      <c r="H38" s="4" t="s">
        <v>78</v>
      </c>
    </row>
    <row r="39" spans="1:8" x14ac:dyDescent="0.3">
      <c r="A39" s="1" t="s">
        <v>119</v>
      </c>
      <c r="C39" s="6">
        <f>Inputs!$B$30</f>
        <v>133188</v>
      </c>
      <c r="D39" s="21">
        <f>C39*(1+D40)</f>
        <v>275699.16000000003</v>
      </c>
      <c r="E39" s="21">
        <f>D39*(1+E40)</f>
        <v>319811.02559999999</v>
      </c>
      <c r="F39" s="21">
        <f>E39*(1+F40)</f>
        <v>239858.26919999998</v>
      </c>
      <c r="G39" s="21">
        <f>F39*(1+G40)</f>
        <v>167900.78843999997</v>
      </c>
      <c r="H39" s="21">
        <f>G39*(1+H40)</f>
        <v>151110.70959599997</v>
      </c>
    </row>
    <row r="40" spans="1:8" x14ac:dyDescent="0.3">
      <c r="A40" s="5" t="s">
        <v>143</v>
      </c>
      <c r="D40" s="7">
        <f>Inputs!C44</f>
        <v>1.07</v>
      </c>
      <c r="E40" s="7">
        <f>Inputs!D44</f>
        <v>0.16</v>
      </c>
      <c r="F40" s="7">
        <f>Inputs!E44</f>
        <v>-0.25</v>
      </c>
      <c r="G40" s="7">
        <f>Inputs!F44</f>
        <v>-0.3</v>
      </c>
      <c r="H40" s="7">
        <f>Inputs!G44</f>
        <v>-0.1</v>
      </c>
    </row>
    <row r="41" spans="1:8" x14ac:dyDescent="0.3">
      <c r="A41" s="5" t="s">
        <v>133</v>
      </c>
      <c r="C41" s="10">
        <f>C42/C39</f>
        <v>0.7458629906598192</v>
      </c>
      <c r="D41" s="7">
        <f>Inputs!C45</f>
        <v>0.8</v>
      </c>
      <c r="E41" s="7">
        <f>Inputs!D45</f>
        <v>0.75</v>
      </c>
      <c r="F41" s="7">
        <f>Inputs!E45</f>
        <v>0.55000000000000004</v>
      </c>
      <c r="G41" s="7">
        <f>Inputs!F45</f>
        <v>0.4</v>
      </c>
      <c r="H41" s="7">
        <f>Inputs!G45</f>
        <v>0.35</v>
      </c>
    </row>
    <row r="42" spans="1:8" x14ac:dyDescent="0.3">
      <c r="A42" s="5" t="s">
        <v>144</v>
      </c>
      <c r="C42" s="6">
        <f>Historical!N10</f>
        <v>99340</v>
      </c>
      <c r="D42" s="21">
        <f>D39*D41</f>
        <v>220559.32800000004</v>
      </c>
      <c r="E42" s="21">
        <f>E39*E41</f>
        <v>239858.26919999998</v>
      </c>
      <c r="F42" s="21">
        <f>F39*F41</f>
        <v>131922.04806</v>
      </c>
      <c r="G42" s="21">
        <f>G39*G41</f>
        <v>67160.315375999999</v>
      </c>
      <c r="H42" s="21">
        <f>H39*H41</f>
        <v>52888.748358599987</v>
      </c>
    </row>
    <row r="43" spans="1:8" x14ac:dyDescent="0.3">
      <c r="A43" s="5" t="s">
        <v>145</v>
      </c>
      <c r="D43" s="21">
        <f>-D42*Inputs!$B$20</f>
        <v>-33083.899200000007</v>
      </c>
      <c r="E43" s="21">
        <f>-E42*Inputs!$B$20</f>
        <v>-35978.740379999996</v>
      </c>
      <c r="F43" s="21">
        <f>-F42*Inputs!$B$20</f>
        <v>-19788.307208999999</v>
      </c>
      <c r="G43" s="21">
        <f>-G42*Inputs!$B$20</f>
        <v>-10074.0473064</v>
      </c>
      <c r="H43" s="21">
        <f>-H42*Inputs!$B$20</f>
        <v>-7933.3122537899981</v>
      </c>
    </row>
    <row r="44" spans="1:8" x14ac:dyDescent="0.3">
      <c r="A44" s="5" t="s">
        <v>146</v>
      </c>
      <c r="D44" s="21">
        <f>D42+D43</f>
        <v>187475.42880000002</v>
      </c>
      <c r="E44" s="21">
        <f>E42+E43</f>
        <v>203879.52881999998</v>
      </c>
      <c r="F44" s="21">
        <f>F42+F43</f>
        <v>112133.74085100001</v>
      </c>
      <c r="G44" s="21">
        <f>G42+G43</f>
        <v>57086.268069600002</v>
      </c>
      <c r="H44" s="21">
        <f>H42+H43</f>
        <v>44955.436104809989</v>
      </c>
    </row>
    <row r="45" spans="1:8" x14ac:dyDescent="0.3">
      <c r="A45" s="5" t="s">
        <v>126</v>
      </c>
      <c r="C45" s="6">
        <f>Inputs!$B$31</f>
        <v>9503</v>
      </c>
      <c r="D45" s="21">
        <f>C45+Inputs!$B$29*(C46-C45)</f>
        <v>13076.4</v>
      </c>
      <c r="E45" s="21">
        <f>D45+Inputs!$B$29*(D46-D45)</f>
        <v>20461.12</v>
      </c>
      <c r="F45" s="21">
        <f>E45+Inputs!$B$29*(E46-E45)</f>
        <v>28368.896000000001</v>
      </c>
      <c r="G45" s="21">
        <f>F45+Inputs!$B$29*(F46-F45)</f>
        <v>32695.1168</v>
      </c>
      <c r="H45" s="21">
        <f>G45+Inputs!$B$29*(G46-G45)</f>
        <v>35156.093439999997</v>
      </c>
    </row>
    <row r="46" spans="1:8" x14ac:dyDescent="0.3">
      <c r="A46" s="5" t="s">
        <v>147</v>
      </c>
      <c r="C46" s="6">
        <f>Inputs!$B$32</f>
        <v>27370</v>
      </c>
      <c r="D46" s="6">
        <f>Inputs!C46</f>
        <v>50000</v>
      </c>
      <c r="E46" s="6">
        <f>Inputs!D46</f>
        <v>60000</v>
      </c>
      <c r="F46" s="6">
        <f>Inputs!E46</f>
        <v>50000</v>
      </c>
      <c r="G46" s="6">
        <f>Inputs!F46</f>
        <v>45000</v>
      </c>
      <c r="H46" s="6">
        <f>Inputs!G46</f>
        <v>42000</v>
      </c>
    </row>
    <row r="47" spans="1:8" x14ac:dyDescent="0.3">
      <c r="A47" s="5" t="s">
        <v>148</v>
      </c>
      <c r="D47" s="21">
        <f>Inputs!$B$28*(D39-C39)</f>
        <v>14251.116000000004</v>
      </c>
      <c r="E47" s="21">
        <f>Inputs!$B$28*(E39-D39)</f>
        <v>4411.1865599999965</v>
      </c>
      <c r="F47" s="21">
        <f>Inputs!$B$28*(F39-E39)</f>
        <v>-7995.2756400000017</v>
      </c>
      <c r="G47" s="21">
        <f>Inputs!$B$28*(G39-F39)</f>
        <v>-7195.7480760000008</v>
      </c>
      <c r="H47" s="21">
        <f>Inputs!$B$28*(H39-G39)</f>
        <v>-1679.0078844000004</v>
      </c>
    </row>
    <row r="48" spans="1:8" x14ac:dyDescent="0.3">
      <c r="A48" s="1" t="s">
        <v>149</v>
      </c>
      <c r="D48" s="23">
        <f>D44+D45-D46-D47</f>
        <v>136300.71280000001</v>
      </c>
      <c r="E48" s="23">
        <f>E44+E45-E46-E47</f>
        <v>159929.46225999997</v>
      </c>
      <c r="F48" s="23">
        <f>F44+F45-F46-F47</f>
        <v>98497.912491000025</v>
      </c>
      <c r="G48" s="23">
        <f>G44+G45-G46-G47</f>
        <v>51977.132945600009</v>
      </c>
      <c r="H48" s="23">
        <f>H44+H45-H46-H47</f>
        <v>39790.53742920998</v>
      </c>
    </row>
    <row r="49" spans="1:8" x14ac:dyDescent="0.3">
      <c r="A49" s="5" t="s">
        <v>150</v>
      </c>
      <c r="D49" s="24">
        <v>1</v>
      </c>
      <c r="E49" s="24">
        <v>2</v>
      </c>
      <c r="F49" s="24">
        <v>3</v>
      </c>
      <c r="G49" s="24">
        <v>4</v>
      </c>
      <c r="H49" s="24">
        <v>5</v>
      </c>
    </row>
    <row r="50" spans="1:8" x14ac:dyDescent="0.3">
      <c r="A50" s="5" t="s">
        <v>151</v>
      </c>
      <c r="D50" s="25">
        <f>1/(1+Inputs!$B$23)^D49</f>
        <v>0.87587372977037037</v>
      </c>
      <c r="E50" s="25">
        <f>1/(1+Inputs!$B$23)^E49</f>
        <v>0.76715479050185975</v>
      </c>
      <c r="F50" s="25">
        <f>1/(1+Inputs!$B$23)^F49</f>
        <v>0.67193072766807094</v>
      </c>
      <c r="G50" s="25">
        <f>1/(1+Inputs!$B$23)^G49</f>
        <v>0.58852647258995228</v>
      </c>
      <c r="H50" s="25">
        <f>1/(1+Inputs!$B$23)^H49</f>
        <v>0.51547487661596114</v>
      </c>
    </row>
    <row r="51" spans="1:8" x14ac:dyDescent="0.3">
      <c r="A51" s="5" t="s">
        <v>152</v>
      </c>
      <c r="D51" s="21">
        <f>D48*D50</f>
        <v>119382.21369049606</v>
      </c>
      <c r="E51" s="21">
        <f>E48*E50</f>
        <v>122690.65311514537</v>
      </c>
      <c r="F51" s="21">
        <f>F48*F50</f>
        <v>66183.774013863615</v>
      </c>
      <c r="G51" s="21">
        <f>G48*G50</f>
        <v>30589.918707812969</v>
      </c>
      <c r="H51" s="21">
        <f>H48*H50</f>
        <v>20511.0223718048</v>
      </c>
    </row>
    <row r="53" spans="1:8" x14ac:dyDescent="0.3">
      <c r="A53" s="5" t="s">
        <v>8</v>
      </c>
      <c r="C53" s="7">
        <f>Inputs!C47</f>
        <v>0.35</v>
      </c>
    </row>
    <row r="54" spans="1:8" x14ac:dyDescent="0.3">
      <c r="A54" s="5" t="s">
        <v>153</v>
      </c>
      <c r="C54" s="21">
        <f>H39*(1+Inputs!$B$26)*C53*(1-Inputs!$B$20)</f>
        <v>46304.099187954293</v>
      </c>
    </row>
    <row r="55" spans="1:8" x14ac:dyDescent="0.3">
      <c r="A55" s="5" t="s">
        <v>154</v>
      </c>
      <c r="C55" s="10">
        <f>Inputs!$B$26/Inputs!$B$27</f>
        <v>0.2</v>
      </c>
    </row>
    <row r="56" spans="1:8" x14ac:dyDescent="0.3">
      <c r="A56" s="5" t="s">
        <v>155</v>
      </c>
      <c r="C56" s="21">
        <f>C54*(1-C55)</f>
        <v>37043.279350363438</v>
      </c>
    </row>
    <row r="57" spans="1:8" x14ac:dyDescent="0.3">
      <c r="A57" s="5" t="s">
        <v>156</v>
      </c>
      <c r="C57" s="21">
        <f>C56/(Inputs!$B$23-Inputs!$B$26)</f>
        <v>331581.15385016263</v>
      </c>
    </row>
    <row r="58" spans="1:8" x14ac:dyDescent="0.3">
      <c r="A58" s="5" t="s">
        <v>157</v>
      </c>
      <c r="C58" s="21">
        <f>C57*H50</f>
        <v>170921.7543690906</v>
      </c>
    </row>
    <row r="59" spans="1:8" x14ac:dyDescent="0.3">
      <c r="A59" s="5" t="s">
        <v>158</v>
      </c>
      <c r="C59" s="21">
        <f>SUM(D51:H51)</f>
        <v>359357.58189912286</v>
      </c>
    </row>
    <row r="60" spans="1:8" x14ac:dyDescent="0.3">
      <c r="A60" s="1" t="s">
        <v>9</v>
      </c>
      <c r="C60" s="23">
        <f>C58+C59</f>
        <v>530279.33626821346</v>
      </c>
    </row>
    <row r="61" spans="1:8" x14ac:dyDescent="0.3">
      <c r="A61" s="5" t="s">
        <v>159</v>
      </c>
      <c r="C61" s="6">
        <f>Inputs!$B$7</f>
        <v>73480</v>
      </c>
    </row>
    <row r="62" spans="1:8" x14ac:dyDescent="0.3">
      <c r="A62" s="5" t="s">
        <v>160</v>
      </c>
      <c r="C62" s="6">
        <f>-Inputs!$B$22</f>
        <v>-5179</v>
      </c>
    </row>
    <row r="63" spans="1:8" x14ac:dyDescent="0.3">
      <c r="A63" s="5" t="s">
        <v>161</v>
      </c>
      <c r="C63" s="6">
        <f>-Inputs!$B$10*Inputs!$B$11</f>
        <v>-12747</v>
      </c>
    </row>
    <row r="64" spans="1:8" x14ac:dyDescent="0.3">
      <c r="A64" s="1" t="s">
        <v>10</v>
      </c>
      <c r="C64" s="23">
        <f>SUM(C60:C63)</f>
        <v>585833.33626821346</v>
      </c>
    </row>
    <row r="65" spans="1:8" x14ac:dyDescent="0.3">
      <c r="A65" s="1" t="s">
        <v>11</v>
      </c>
      <c r="C65" s="9">
        <f>C64/Inputs!$B$6</f>
        <v>510.75269073078766</v>
      </c>
    </row>
    <row r="66" spans="1:8" x14ac:dyDescent="0.3">
      <c r="A66" s="5" t="s">
        <v>162</v>
      </c>
      <c r="C66" s="10">
        <f>C65/Inputs!$B$5-1</f>
        <v>-0.41883313147923662</v>
      </c>
    </row>
    <row r="67" spans="1:8" x14ac:dyDescent="0.3">
      <c r="A67" s="5" t="s">
        <v>13</v>
      </c>
      <c r="C67" s="10">
        <f>C58/C60</f>
        <v>0.32232399544725793</v>
      </c>
    </row>
    <row r="68" spans="1:8" x14ac:dyDescent="0.3">
      <c r="A68" s="5" t="s">
        <v>163</v>
      </c>
      <c r="C68" s="26">
        <f>C60/D42</f>
        <v>2.4042480591354241</v>
      </c>
    </row>
    <row r="71" spans="1:8" x14ac:dyDescent="0.3">
      <c r="A71" s="1" t="s">
        <v>89</v>
      </c>
    </row>
    <row r="72" spans="1:8" x14ac:dyDescent="0.3">
      <c r="A72" s="3" t="s">
        <v>105</v>
      </c>
      <c r="B72" s="4"/>
      <c r="C72" s="4" t="s">
        <v>142</v>
      </c>
      <c r="D72" s="4" t="s">
        <v>74</v>
      </c>
      <c r="E72" s="4" t="s">
        <v>75</v>
      </c>
      <c r="F72" s="4" t="s">
        <v>76</v>
      </c>
      <c r="G72" s="4" t="s">
        <v>77</v>
      </c>
      <c r="H72" s="4" t="s">
        <v>78</v>
      </c>
    </row>
    <row r="73" spans="1:8" x14ac:dyDescent="0.3">
      <c r="A73" s="1" t="s">
        <v>119</v>
      </c>
      <c r="C73" s="6">
        <f>Inputs!$B$30</f>
        <v>133188</v>
      </c>
      <c r="D73" s="21">
        <f>C73*(1+D74)</f>
        <v>286354.2</v>
      </c>
      <c r="E73" s="21">
        <f>D73*(1+E74)</f>
        <v>357942.75</v>
      </c>
      <c r="F73" s="21">
        <f>E73*(1+F74)</f>
        <v>375839.88750000001</v>
      </c>
      <c r="G73" s="21">
        <f>F73*(1+G74)</f>
        <v>357047.893125</v>
      </c>
      <c r="H73" s="21">
        <f>G73*(1+H74)</f>
        <v>367759.32991875004</v>
      </c>
    </row>
    <row r="74" spans="1:8" x14ac:dyDescent="0.3">
      <c r="A74" s="5" t="s">
        <v>143</v>
      </c>
      <c r="D74" s="7">
        <f>Inputs!C50</f>
        <v>1.1499999999999999</v>
      </c>
      <c r="E74" s="7">
        <f>Inputs!D50</f>
        <v>0.25</v>
      </c>
      <c r="F74" s="7">
        <f>Inputs!E50</f>
        <v>0.05</v>
      </c>
      <c r="G74" s="7">
        <f>Inputs!F50</f>
        <v>-0.05</v>
      </c>
      <c r="H74" s="7">
        <f>Inputs!G50</f>
        <v>0.03</v>
      </c>
    </row>
    <row r="75" spans="1:8" x14ac:dyDescent="0.3">
      <c r="A75" s="5" t="s">
        <v>133</v>
      </c>
      <c r="C75" s="10">
        <f>C76/C73</f>
        <v>0.7458629906598192</v>
      </c>
      <c r="D75" s="7">
        <f>Inputs!C51</f>
        <v>0.82</v>
      </c>
      <c r="E75" s="7">
        <f>Inputs!D51</f>
        <v>0.8</v>
      </c>
      <c r="F75" s="7">
        <f>Inputs!E51</f>
        <v>0.7</v>
      </c>
      <c r="G75" s="7">
        <f>Inputs!F51</f>
        <v>0.6</v>
      </c>
      <c r="H75" s="7">
        <f>Inputs!G51</f>
        <v>0.5</v>
      </c>
    </row>
    <row r="76" spans="1:8" x14ac:dyDescent="0.3">
      <c r="A76" s="5" t="s">
        <v>144</v>
      </c>
      <c r="C76" s="6">
        <f>Historical!N10</f>
        <v>99340</v>
      </c>
      <c r="D76" s="21">
        <f>D73*D75</f>
        <v>234810.44399999999</v>
      </c>
      <c r="E76" s="21">
        <f>E73*E75</f>
        <v>286354.2</v>
      </c>
      <c r="F76" s="21">
        <f>F73*F75</f>
        <v>263087.92125000001</v>
      </c>
      <c r="G76" s="21">
        <f>G73*G75</f>
        <v>214228.73587499998</v>
      </c>
      <c r="H76" s="21">
        <f>H73*H75</f>
        <v>183879.66495937502</v>
      </c>
    </row>
    <row r="77" spans="1:8" x14ac:dyDescent="0.3">
      <c r="A77" s="5" t="s">
        <v>145</v>
      </c>
      <c r="D77" s="21">
        <f>-D76*Inputs!$B$20</f>
        <v>-35221.566599999998</v>
      </c>
      <c r="E77" s="21">
        <f>-E76*Inputs!$B$20</f>
        <v>-42953.13</v>
      </c>
      <c r="F77" s="21">
        <f>-F76*Inputs!$B$20</f>
        <v>-39463.188187500004</v>
      </c>
      <c r="G77" s="21">
        <f>-G76*Inputs!$B$20</f>
        <v>-32134.310381249998</v>
      </c>
      <c r="H77" s="21">
        <f>-H76*Inputs!$B$20</f>
        <v>-27581.949743906251</v>
      </c>
    </row>
    <row r="78" spans="1:8" x14ac:dyDescent="0.3">
      <c r="A78" s="5" t="s">
        <v>146</v>
      </c>
      <c r="D78" s="21">
        <f>D76+D77</f>
        <v>199588.8774</v>
      </c>
      <c r="E78" s="21">
        <f>E76+E77</f>
        <v>243401.07</v>
      </c>
      <c r="F78" s="21">
        <f>F76+F77</f>
        <v>223624.73306250002</v>
      </c>
      <c r="G78" s="21">
        <f>G76+G77</f>
        <v>182094.42549374999</v>
      </c>
      <c r="H78" s="21">
        <f>H76+H77</f>
        <v>156297.71521546878</v>
      </c>
    </row>
    <row r="79" spans="1:8" x14ac:dyDescent="0.3">
      <c r="A79" s="5" t="s">
        <v>126</v>
      </c>
      <c r="C79" s="6">
        <f>Inputs!$B$31</f>
        <v>9503</v>
      </c>
      <c r="D79" s="21">
        <f>C79+Inputs!$B$29*(C80-C79)</f>
        <v>13076.4</v>
      </c>
      <c r="E79" s="21">
        <f>D79+Inputs!$B$29*(D80-D79)</f>
        <v>21461.119999999999</v>
      </c>
      <c r="F79" s="21">
        <f>E79+Inputs!$B$29*(E80-E79)</f>
        <v>31168.896000000001</v>
      </c>
      <c r="G79" s="21">
        <f>F79+Inputs!$B$29*(F80-F79)</f>
        <v>38935.116800000003</v>
      </c>
      <c r="H79" s="21">
        <f>G79+Inputs!$B$29*(G80-G79)</f>
        <v>44148.093440000004</v>
      </c>
    </row>
    <row r="80" spans="1:8" x14ac:dyDescent="0.3">
      <c r="A80" s="5" t="s">
        <v>147</v>
      </c>
      <c r="C80" s="6">
        <f>Inputs!$B$32</f>
        <v>27370</v>
      </c>
      <c r="D80" s="6">
        <f>Inputs!C52</f>
        <v>55000</v>
      </c>
      <c r="E80" s="6">
        <f>Inputs!D52</f>
        <v>70000</v>
      </c>
      <c r="F80" s="6">
        <f>Inputs!E52</f>
        <v>70000</v>
      </c>
      <c r="G80" s="6">
        <f>Inputs!F52</f>
        <v>65000</v>
      </c>
      <c r="H80" s="6">
        <f>Inputs!G52</f>
        <v>65000</v>
      </c>
    </row>
    <row r="81" spans="1:8" x14ac:dyDescent="0.3">
      <c r="A81" s="5" t="s">
        <v>148</v>
      </c>
      <c r="D81" s="21">
        <f>Inputs!$B$28*(D73-C73)</f>
        <v>15316.620000000003</v>
      </c>
      <c r="E81" s="21">
        <f>Inputs!$B$28*(E73-D73)</f>
        <v>7158.8549999999996</v>
      </c>
      <c r="F81" s="21">
        <f>Inputs!$B$28*(F73-E73)</f>
        <v>1789.7137500000013</v>
      </c>
      <c r="G81" s="21">
        <f>Inputs!$B$28*(G73-F73)</f>
        <v>-1879.1994375000011</v>
      </c>
      <c r="H81" s="21">
        <f>Inputs!$B$28*(H73-G73)</f>
        <v>1071.1436793750036</v>
      </c>
    </row>
    <row r="82" spans="1:8" x14ac:dyDescent="0.3">
      <c r="A82" s="1" t="s">
        <v>149</v>
      </c>
      <c r="D82" s="23">
        <f>D78+D79-D80-D81</f>
        <v>142348.6574</v>
      </c>
      <c r="E82" s="23">
        <f>E78+E79-E80-E81</f>
        <v>187703.33499999999</v>
      </c>
      <c r="F82" s="23">
        <f>F78+F79-F80-F81</f>
        <v>183003.91531250003</v>
      </c>
      <c r="G82" s="23">
        <f>G78+G79-G80-G81</f>
        <v>157908.74173124999</v>
      </c>
      <c r="H82" s="23">
        <f>H78+H79-H80-H81</f>
        <v>134374.66497609377</v>
      </c>
    </row>
    <row r="83" spans="1:8" x14ac:dyDescent="0.3">
      <c r="A83" s="5" t="s">
        <v>150</v>
      </c>
      <c r="D83" s="24">
        <v>1</v>
      </c>
      <c r="E83" s="24">
        <v>2</v>
      </c>
      <c r="F83" s="24">
        <v>3</v>
      </c>
      <c r="G83" s="24">
        <v>4</v>
      </c>
      <c r="H83" s="24">
        <v>5</v>
      </c>
    </row>
    <row r="84" spans="1:8" x14ac:dyDescent="0.3">
      <c r="A84" s="5" t="s">
        <v>151</v>
      </c>
      <c r="D84" s="25">
        <f>1/(1+Inputs!$B$23)^D83</f>
        <v>0.87587372977037037</v>
      </c>
      <c r="E84" s="25">
        <f>1/(1+Inputs!$B$23)^E83</f>
        <v>0.76715479050185975</v>
      </c>
      <c r="F84" s="25">
        <f>1/(1+Inputs!$B$23)^F83</f>
        <v>0.67193072766807094</v>
      </c>
      <c r="G84" s="25">
        <f>1/(1+Inputs!$B$23)^G83</f>
        <v>0.58852647258995228</v>
      </c>
      <c r="H84" s="25">
        <f>1/(1+Inputs!$B$23)^H83</f>
        <v>0.51547487661596114</v>
      </c>
    </row>
    <row r="85" spans="1:8" x14ac:dyDescent="0.3">
      <c r="A85" s="5" t="s">
        <v>152</v>
      </c>
      <c r="D85" s="21">
        <f>D82*D84</f>
        <v>124679.44948474262</v>
      </c>
      <c r="E85" s="21">
        <f>E82*E84</f>
        <v>143997.5126384254</v>
      </c>
      <c r="F85" s="21">
        <f>F82*F84</f>
        <v>122965.95398203417</v>
      </c>
      <c r="G85" s="21">
        <f>G82*G84</f>
        <v>92933.474762210346</v>
      </c>
      <c r="H85" s="21">
        <f>H82*H84</f>
        <v>69266.763848863047</v>
      </c>
    </row>
    <row r="87" spans="1:8" x14ac:dyDescent="0.3">
      <c r="A87" s="5" t="s">
        <v>8</v>
      </c>
      <c r="C87" s="7">
        <f>Inputs!C53</f>
        <v>0.5</v>
      </c>
    </row>
    <row r="88" spans="1:8" x14ac:dyDescent="0.3">
      <c r="A88" s="5" t="s">
        <v>153</v>
      </c>
      <c r="C88" s="21">
        <f>H73*(1+Inputs!$B$26)*C87*(1-Inputs!$B$20)</f>
        <v>160986.64667193283</v>
      </c>
    </row>
    <row r="89" spans="1:8" x14ac:dyDescent="0.3">
      <c r="A89" s="5" t="s">
        <v>154</v>
      </c>
      <c r="C89" s="10">
        <f>Inputs!$B$26/Inputs!$B$27</f>
        <v>0.2</v>
      </c>
    </row>
    <row r="90" spans="1:8" x14ac:dyDescent="0.3">
      <c r="A90" s="5" t="s">
        <v>155</v>
      </c>
      <c r="C90" s="21">
        <f>C88*(1-C89)</f>
        <v>128789.31733754626</v>
      </c>
    </row>
    <row r="91" spans="1:8" x14ac:dyDescent="0.3">
      <c r="A91" s="5" t="s">
        <v>156</v>
      </c>
      <c r="C91" s="21">
        <f>C90/(Inputs!$B$23-Inputs!$B$26)</f>
        <v>1152816.6834921264</v>
      </c>
    </row>
    <row r="92" spans="1:8" x14ac:dyDescent="0.3">
      <c r="A92" s="5" t="s">
        <v>157</v>
      </c>
      <c r="C92" s="21">
        <f>C91*H84</f>
        <v>594248.03768392536</v>
      </c>
    </row>
    <row r="93" spans="1:8" x14ac:dyDescent="0.3">
      <c r="A93" s="5" t="s">
        <v>158</v>
      </c>
      <c r="C93" s="21">
        <f>SUM(D85:H85)</f>
        <v>553843.15471627563</v>
      </c>
    </row>
    <row r="94" spans="1:8" x14ac:dyDescent="0.3">
      <c r="A94" s="1" t="s">
        <v>9</v>
      </c>
      <c r="C94" s="23">
        <f>C92+C93</f>
        <v>1148091.192400201</v>
      </c>
    </row>
    <row r="95" spans="1:8" x14ac:dyDescent="0.3">
      <c r="A95" s="5" t="s">
        <v>159</v>
      </c>
      <c r="C95" s="6">
        <f>Inputs!$B$7</f>
        <v>73480</v>
      </c>
    </row>
    <row r="96" spans="1:8" x14ac:dyDescent="0.3">
      <c r="A96" s="5" t="s">
        <v>160</v>
      </c>
      <c r="C96" s="6">
        <f>-Inputs!$B$22</f>
        <v>-5179</v>
      </c>
    </row>
    <row r="97" spans="1:3" x14ac:dyDescent="0.3">
      <c r="A97" s="5" t="s">
        <v>161</v>
      </c>
      <c r="C97" s="6">
        <f>-Inputs!$B$10*Inputs!$B$11</f>
        <v>-12747</v>
      </c>
    </row>
    <row r="98" spans="1:3" x14ac:dyDescent="0.3">
      <c r="A98" s="1" t="s">
        <v>10</v>
      </c>
      <c r="C98" s="23">
        <f>SUM(C94:C97)</f>
        <v>1203645.192400201</v>
      </c>
    </row>
    <row r="99" spans="1:3" x14ac:dyDescent="0.3">
      <c r="A99" s="1" t="s">
        <v>11</v>
      </c>
      <c r="C99" s="9">
        <f>C98/Inputs!$B$6</f>
        <v>1049.3855208371413</v>
      </c>
    </row>
    <row r="100" spans="1:3" x14ac:dyDescent="0.3">
      <c r="A100" s="5" t="s">
        <v>162</v>
      </c>
      <c r="C100" s="10">
        <f>C99/Inputs!$B$5-1</f>
        <v>0.19405753133350911</v>
      </c>
    </row>
    <row r="101" spans="1:3" x14ac:dyDescent="0.3">
      <c r="A101" s="5" t="s">
        <v>13</v>
      </c>
      <c r="C101" s="10">
        <f>C92/C94</f>
        <v>0.51759654774599362</v>
      </c>
    </row>
    <row r="102" spans="1:3" x14ac:dyDescent="0.3">
      <c r="A102" s="5" t="s">
        <v>163</v>
      </c>
      <c r="C102" s="26">
        <f>C94/D76</f>
        <v>4.8894383607579268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showGridLines="0" workbookViewId="0"/>
  </sheetViews>
  <sheetFormatPr baseColWidth="10" defaultColWidth="8.88671875" defaultRowHeight="14.4" x14ac:dyDescent="0.3"/>
  <cols>
    <col min="1" max="1" width="48" customWidth="1"/>
    <col min="2" max="9" width="12" customWidth="1"/>
  </cols>
  <sheetData>
    <row r="1" spans="1:8" x14ac:dyDescent="0.3">
      <c r="A1" s="1" t="s">
        <v>164</v>
      </c>
    </row>
    <row r="2" spans="1:8" x14ac:dyDescent="0.3">
      <c r="A2" s="2" t="s">
        <v>165</v>
      </c>
    </row>
    <row r="4" spans="1:8" x14ac:dyDescent="0.3">
      <c r="A4" s="3" t="s">
        <v>105</v>
      </c>
      <c r="B4" s="4"/>
      <c r="C4" s="4"/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</row>
    <row r="5" spans="1:8" x14ac:dyDescent="0.3">
      <c r="A5" s="5" t="s">
        <v>166</v>
      </c>
      <c r="D5" s="6">
        <f>DCF!D39</f>
        <v>275699.16000000003</v>
      </c>
      <c r="E5" s="6">
        <f>DCF!E39</f>
        <v>319811.02559999999</v>
      </c>
      <c r="F5" s="6">
        <f>DCF!F39</f>
        <v>239858.26919999998</v>
      </c>
      <c r="G5" s="6">
        <f>DCF!G39</f>
        <v>167900.78843999997</v>
      </c>
      <c r="H5" s="6">
        <f>DCF!H39</f>
        <v>151110.70959599997</v>
      </c>
    </row>
    <row r="6" spans="1:8" x14ac:dyDescent="0.3">
      <c r="A6" s="5" t="s">
        <v>167</v>
      </c>
      <c r="D6" s="24">
        <v>1</v>
      </c>
      <c r="E6" s="24">
        <v>1</v>
      </c>
      <c r="F6" s="24">
        <v>0</v>
      </c>
      <c r="G6" s="24">
        <v>0</v>
      </c>
      <c r="H6" s="24">
        <v>0</v>
      </c>
    </row>
    <row r="7" spans="1:8" x14ac:dyDescent="0.3">
      <c r="A7" s="5" t="s">
        <v>168</v>
      </c>
      <c r="D7" s="6">
        <f>IF(D6=1,DCF!D48,DCF!D45-DCF!D46-DCF!D47)</f>
        <v>136300.71280000001</v>
      </c>
      <c r="E7" s="6">
        <f>IF(E6=1,DCF!E48,DCF!E45-DCF!E46-DCF!E47)</f>
        <v>159929.46225999997</v>
      </c>
      <c r="F7" s="6">
        <f>IF(F6=1,DCF!F48,DCF!F45-DCF!F46-DCF!F47)</f>
        <v>-13635.828359999998</v>
      </c>
      <c r="G7" s="6">
        <f>IF(G6=1,DCF!G48,DCF!G45-DCF!G46-DCF!G47)</f>
        <v>-5109.1351239999995</v>
      </c>
      <c r="H7" s="6">
        <f>IF(H6=1,DCF!H48,DCF!H45-DCF!H46-DCF!H47)</f>
        <v>-5164.8986756000031</v>
      </c>
    </row>
    <row r="8" spans="1:8" x14ac:dyDescent="0.3">
      <c r="A8" s="5" t="s">
        <v>169</v>
      </c>
      <c r="D8" s="21">
        <f>IF(D6=1,0,D5*(1-Inputs!$B$20))</f>
        <v>0</v>
      </c>
      <c r="E8" s="21">
        <f>IF(E6=1,0,E5*(1-Inputs!$B$20))</f>
        <v>0</v>
      </c>
      <c r="F8" s="21">
        <f>IF(F6=1,0,F5*(1-Inputs!$B$20))</f>
        <v>203879.52881999998</v>
      </c>
      <c r="G8" s="21">
        <f>IF(G6=1,0,G5*(1-Inputs!$B$20))</f>
        <v>142715.67017399997</v>
      </c>
      <c r="H8" s="21">
        <f>IF(H6=1,0,H5*(1-Inputs!$B$20))</f>
        <v>128444.10315659997</v>
      </c>
    </row>
    <row r="9" spans="1:8" x14ac:dyDescent="0.3">
      <c r="A9" s="5" t="s">
        <v>170</v>
      </c>
      <c r="D9" s="24">
        <v>1</v>
      </c>
      <c r="E9" s="24">
        <v>2</v>
      </c>
      <c r="F9" s="24">
        <v>3</v>
      </c>
      <c r="G9" s="24">
        <v>4</v>
      </c>
      <c r="H9" s="24">
        <v>5</v>
      </c>
    </row>
    <row r="11" spans="1:8" x14ac:dyDescent="0.3">
      <c r="A11" s="5" t="s">
        <v>171</v>
      </c>
      <c r="C11" s="6">
        <f>Inputs!B21</f>
        <v>1008029.48</v>
      </c>
    </row>
    <row r="12" spans="1:8" x14ac:dyDescent="0.3">
      <c r="A12" s="5" t="s">
        <v>172</v>
      </c>
      <c r="C12" s="21">
        <f>SUMPRODUCT(D7:H7/(1+Inputs!$B$23)^D9:H9)+(Inputs!$B$7-Inputs!$B$22-Inputs!$B$10*Inputs!$B$11)</f>
        <v>282795.29795329773</v>
      </c>
    </row>
    <row r="13" spans="1:8" x14ac:dyDescent="0.3">
      <c r="A13" s="5" t="s">
        <v>173</v>
      </c>
      <c r="C13" s="21">
        <f>SUMPRODUCT(D8:H8/(1+Inputs!$B$23)^D9:H9)+$H$5*(1+Inputs!$B$26)*(1-Inputs!$B$20)*(1-Inputs!$B$26/Inputs!$B$27)/(Inputs!$B$23-Inputs!$B$26)/(1+Inputs!$B$23)^H9</f>
        <v>775542.44796013064</v>
      </c>
    </row>
    <row r="14" spans="1:8" x14ac:dyDescent="0.3">
      <c r="A14" s="1" t="s">
        <v>174</v>
      </c>
      <c r="C14" s="27">
        <f>(C11-C12)/C13</f>
        <v>0.93513151208453948</v>
      </c>
    </row>
    <row r="15" spans="1:8" x14ac:dyDescent="0.3">
      <c r="A15" s="5" t="s">
        <v>175</v>
      </c>
      <c r="C15" s="7">
        <f>Historical!B27</f>
        <v>0.17471715052005224</v>
      </c>
    </row>
    <row r="16" spans="1:8" x14ac:dyDescent="0.3">
      <c r="A16" s="5" t="s">
        <v>176</v>
      </c>
      <c r="C16" s="7">
        <f>Historical!F21</f>
        <v>0.49336974762265146</v>
      </c>
    </row>
    <row r="19" spans="1:9" x14ac:dyDescent="0.3">
      <c r="A19" s="1" t="s">
        <v>177</v>
      </c>
    </row>
    <row r="20" spans="1:9" x14ac:dyDescent="0.3">
      <c r="A20" s="3" t="s">
        <v>178</v>
      </c>
      <c r="B20" s="4"/>
      <c r="C20" s="28">
        <v>0.15</v>
      </c>
      <c r="D20" s="28">
        <v>0.2</v>
      </c>
      <c r="E20" s="28">
        <v>0.25</v>
      </c>
      <c r="F20" s="28">
        <v>0.3</v>
      </c>
      <c r="G20" s="28">
        <v>0.35</v>
      </c>
      <c r="H20" s="28">
        <v>0.4</v>
      </c>
      <c r="I20" s="28">
        <v>0.5</v>
      </c>
    </row>
    <row r="21" spans="1:9" x14ac:dyDescent="0.3">
      <c r="A21" s="29">
        <v>0.1</v>
      </c>
      <c r="C21" s="30">
        <f>(SUMPRODUCT(($D$7:$H$7+C$20*$D$8:$H$8)/(1+$A21)^$D$9:$H$9)+C$20*$H$5*(1+Inputs!$B$26)*(1-Inputs!$B$20)*(1-Inputs!$B$26/Inputs!$B$27)/($A21-Inputs!$B$26)/(1+$A21)^$H$9+(Inputs!$B$7-Inputs!$B$22-Inputs!$B$10*Inputs!$B$11))/Inputs!$B$6</f>
        <v>422.91096620156219</v>
      </c>
      <c r="D21" s="30">
        <f>(SUMPRODUCT(($D$7:$H$7+D$20*$D$8:$H$8)/(1+$A21)^$D$9:$H$9)+D$20*$H$5*(1+Inputs!$B$26)*(1-Inputs!$B$20)*(1-Inputs!$B$26/Inputs!$B$27)/($A21-Inputs!$B$26)/(1+$A21)^$H$9+(Inputs!$B$7-Inputs!$B$22-Inputs!$B$10*Inputs!$B$11))/Inputs!$B$6</f>
        <v>478.23890384812643</v>
      </c>
      <c r="E21" s="30">
        <f>(SUMPRODUCT(($D$7:$H$7+E$20*$D$8:$H$8)/(1+$A21)^$D$9:$H$9)+E$20*$H$5*(1+Inputs!$B$26)*(1-Inputs!$B$20)*(1-Inputs!$B$26/Inputs!$B$27)/($A21-Inputs!$B$26)/(1+$A21)^$H$9+(Inputs!$B$7-Inputs!$B$22-Inputs!$B$10*Inputs!$B$11))/Inputs!$B$6</f>
        <v>533.56684149469072</v>
      </c>
      <c r="F21" s="30">
        <f>(SUMPRODUCT(($D$7:$H$7+F$20*$D$8:$H$8)/(1+$A21)^$D$9:$H$9)+F$20*$H$5*(1+Inputs!$B$26)*(1-Inputs!$B$20)*(1-Inputs!$B$26/Inputs!$B$27)/($A21-Inputs!$B$26)/(1+$A21)^$H$9+(Inputs!$B$7-Inputs!$B$22-Inputs!$B$10*Inputs!$B$11))/Inputs!$B$6</f>
        <v>588.89477914125496</v>
      </c>
      <c r="G21" s="30">
        <f>(SUMPRODUCT(($D$7:$H$7+G$20*$D$8:$H$8)/(1+$A21)^$D$9:$H$9)+G$20*$H$5*(1+Inputs!$B$26)*(1-Inputs!$B$20)*(1-Inputs!$B$26/Inputs!$B$27)/($A21-Inputs!$B$26)/(1+$A21)^$H$9+(Inputs!$B$7-Inputs!$B$22-Inputs!$B$10*Inputs!$B$11))/Inputs!$B$6</f>
        <v>644.22271678781919</v>
      </c>
      <c r="H21" s="30">
        <f>(SUMPRODUCT(($D$7:$H$7+H$20*$D$8:$H$8)/(1+$A21)^$D$9:$H$9)+H$20*$H$5*(1+Inputs!$B$26)*(1-Inputs!$B$20)*(1-Inputs!$B$26/Inputs!$B$27)/($A21-Inputs!$B$26)/(1+$A21)^$H$9+(Inputs!$B$7-Inputs!$B$22-Inputs!$B$10*Inputs!$B$11))/Inputs!$B$6</f>
        <v>699.55065443438355</v>
      </c>
      <c r="I21" s="30">
        <f>(SUMPRODUCT(($D$7:$H$7+I$20*$D$8:$H$8)/(1+$A21)^$D$9:$H$9)+I$20*$H$5*(1+Inputs!$B$26)*(1-Inputs!$B$20)*(1-Inputs!$B$26/Inputs!$B$27)/($A21-Inputs!$B$26)/(1+$A21)^$H$9+(Inputs!$B$7-Inputs!$B$22-Inputs!$B$10*Inputs!$B$11))/Inputs!$B$6</f>
        <v>810.20652972751213</v>
      </c>
    </row>
    <row r="22" spans="1:9" x14ac:dyDescent="0.3">
      <c r="A22" s="29">
        <v>0.11</v>
      </c>
      <c r="C22" s="30">
        <f>(SUMPRODUCT(($D$7:$H$7+C$20*$D$8:$H$8)/(1+$A22)^$D$9:$H$9)+C$20*$H$5*(1+Inputs!$B$26)*(1-Inputs!$B$20)*(1-Inputs!$B$26/Inputs!$B$27)/($A22-Inputs!$B$26)/(1+$A22)^$H$9+(Inputs!$B$7-Inputs!$B$22-Inputs!$B$10*Inputs!$B$11))/Inputs!$B$6</f>
        <v>398.79125027396475</v>
      </c>
      <c r="D22" s="30">
        <f>(SUMPRODUCT(($D$7:$H$7+D$20*$D$8:$H$8)/(1+$A22)^$D$9:$H$9)+D$20*$H$5*(1+Inputs!$B$26)*(1-Inputs!$B$20)*(1-Inputs!$B$26/Inputs!$B$27)/($A22-Inputs!$B$26)/(1+$A22)^$H$9+(Inputs!$B$7-Inputs!$B$22-Inputs!$B$10*Inputs!$B$11))/Inputs!$B$6</f>
        <v>446.93564187865314</v>
      </c>
      <c r="E22" s="30">
        <f>(SUMPRODUCT(($D$7:$H$7+E$20*$D$8:$H$8)/(1+$A22)^$D$9:$H$9)+E$20*$H$5*(1+Inputs!$B$26)*(1-Inputs!$B$20)*(1-Inputs!$B$26/Inputs!$B$27)/($A22-Inputs!$B$26)/(1+$A22)^$H$9+(Inputs!$B$7-Inputs!$B$22-Inputs!$B$10*Inputs!$B$11))/Inputs!$B$6</f>
        <v>495.08003348334171</v>
      </c>
      <c r="F22" s="30">
        <f>(SUMPRODUCT(($D$7:$H$7+F$20*$D$8:$H$8)/(1+$A22)^$D$9:$H$9)+F$20*$H$5*(1+Inputs!$B$26)*(1-Inputs!$B$20)*(1-Inputs!$B$26/Inputs!$B$27)/($A22-Inputs!$B$26)/(1+$A22)^$H$9+(Inputs!$B$7-Inputs!$B$22-Inputs!$B$10*Inputs!$B$11))/Inputs!$B$6</f>
        <v>543.2244250880301</v>
      </c>
      <c r="G22" s="30">
        <f>(SUMPRODUCT(($D$7:$H$7+G$20*$D$8:$H$8)/(1+$A22)^$D$9:$H$9)+G$20*$H$5*(1+Inputs!$B$26)*(1-Inputs!$B$20)*(1-Inputs!$B$26/Inputs!$B$27)/($A22-Inputs!$B$26)/(1+$A22)^$H$9+(Inputs!$B$7-Inputs!$B$22-Inputs!$B$10*Inputs!$B$11))/Inputs!$B$6</f>
        <v>591.3688166927185</v>
      </c>
      <c r="H22" s="30">
        <f>(SUMPRODUCT(($D$7:$H$7+H$20*$D$8:$H$8)/(1+$A22)^$D$9:$H$9)+H$20*$H$5*(1+Inputs!$B$26)*(1-Inputs!$B$20)*(1-Inputs!$B$26/Inputs!$B$27)/($A22-Inputs!$B$26)/(1+$A22)^$H$9+(Inputs!$B$7-Inputs!$B$22-Inputs!$B$10*Inputs!$B$11))/Inputs!$B$6</f>
        <v>639.513208297407</v>
      </c>
      <c r="I22" s="30">
        <f>(SUMPRODUCT(($D$7:$H$7+I$20*$D$8:$H$8)/(1+$A22)^$D$9:$H$9)+I$20*$H$5*(1+Inputs!$B$26)*(1-Inputs!$B$20)*(1-Inputs!$B$26/Inputs!$B$27)/($A22-Inputs!$B$26)/(1+$A22)^$H$9+(Inputs!$B$7-Inputs!$B$22-Inputs!$B$10*Inputs!$B$11))/Inputs!$B$6</f>
        <v>735.80199150678402</v>
      </c>
    </row>
    <row r="23" spans="1:9" x14ac:dyDescent="0.3">
      <c r="A23" s="29">
        <v>0.12</v>
      </c>
      <c r="C23" s="30">
        <f>(SUMPRODUCT(($D$7:$H$7+C$20*$D$8:$H$8)/(1+$A23)^$D$9:$H$9)+C$20*$H$5*(1+Inputs!$B$26)*(1-Inputs!$B$20)*(1-Inputs!$B$26/Inputs!$B$27)/($A23-Inputs!$B$26)/(1+$A23)^$H$9+(Inputs!$B$7-Inputs!$B$22-Inputs!$B$10*Inputs!$B$11))/Inputs!$B$6</f>
        <v>379.47637888680214</v>
      </c>
      <c r="D23" s="30">
        <f>(SUMPRODUCT(($D$7:$H$7+D$20*$D$8:$H$8)/(1+$A23)^$D$9:$H$9)+D$20*$H$5*(1+Inputs!$B$26)*(1-Inputs!$B$20)*(1-Inputs!$B$26/Inputs!$B$27)/($A23-Inputs!$B$26)/(1+$A23)^$H$9+(Inputs!$B$7-Inputs!$B$22-Inputs!$B$10*Inputs!$B$11))/Inputs!$B$6</f>
        <v>422.02125440862756</v>
      </c>
      <c r="E23" s="30">
        <f>(SUMPRODUCT(($D$7:$H$7+E$20*$D$8:$H$8)/(1+$A23)^$D$9:$H$9)+E$20*$H$5*(1+Inputs!$B$26)*(1-Inputs!$B$20)*(1-Inputs!$B$26/Inputs!$B$27)/($A23-Inputs!$B$26)/(1+$A23)^$H$9+(Inputs!$B$7-Inputs!$B$22-Inputs!$B$10*Inputs!$B$11))/Inputs!$B$6</f>
        <v>464.5661299304528</v>
      </c>
      <c r="F23" s="30">
        <f>(SUMPRODUCT(($D$7:$H$7+F$20*$D$8:$H$8)/(1+$A23)^$D$9:$H$9)+F$20*$H$5*(1+Inputs!$B$26)*(1-Inputs!$B$20)*(1-Inputs!$B$26/Inputs!$B$27)/($A23-Inputs!$B$26)/(1+$A23)^$H$9+(Inputs!$B$7-Inputs!$B$22-Inputs!$B$10*Inputs!$B$11))/Inputs!$B$6</f>
        <v>507.11100545227816</v>
      </c>
      <c r="G23" s="30">
        <f>(SUMPRODUCT(($D$7:$H$7+G$20*$D$8:$H$8)/(1+$A23)^$D$9:$H$9)+G$20*$H$5*(1+Inputs!$B$26)*(1-Inputs!$B$20)*(1-Inputs!$B$26/Inputs!$B$27)/($A23-Inputs!$B$26)/(1+$A23)^$H$9+(Inputs!$B$7-Inputs!$B$22-Inputs!$B$10*Inputs!$B$11))/Inputs!$B$6</f>
        <v>549.65588097410352</v>
      </c>
      <c r="H23" s="30">
        <f>(SUMPRODUCT(($D$7:$H$7+H$20*$D$8:$H$8)/(1+$A23)^$D$9:$H$9)+H$20*$H$5*(1+Inputs!$B$26)*(1-Inputs!$B$20)*(1-Inputs!$B$26/Inputs!$B$27)/($A23-Inputs!$B$26)/(1+$A23)^$H$9+(Inputs!$B$7-Inputs!$B$22-Inputs!$B$10*Inputs!$B$11))/Inputs!$B$6</f>
        <v>592.20075649592889</v>
      </c>
      <c r="I23" s="30">
        <f>(SUMPRODUCT(($D$7:$H$7+I$20*$D$8:$H$8)/(1+$A23)^$D$9:$H$9)+I$20*$H$5*(1+Inputs!$B$26)*(1-Inputs!$B$20)*(1-Inputs!$B$26/Inputs!$B$27)/($A23-Inputs!$B$26)/(1+$A23)^$H$9+(Inputs!$B$7-Inputs!$B$22-Inputs!$B$10*Inputs!$B$11))/Inputs!$B$6</f>
        <v>677.29050753957949</v>
      </c>
    </row>
    <row r="24" spans="1:9" x14ac:dyDescent="0.3">
      <c r="A24" s="29">
        <v>0.13</v>
      </c>
      <c r="C24" s="30">
        <f>(SUMPRODUCT(($D$7:$H$7+C$20*$D$8:$H$8)/(1+$A24)^$D$9:$H$9)+C$20*$H$5*(1+Inputs!$B$26)*(1-Inputs!$B$20)*(1-Inputs!$B$26/Inputs!$B$27)/($A24-Inputs!$B$26)/(1+$A24)^$H$9+(Inputs!$B$7-Inputs!$B$22-Inputs!$B$10*Inputs!$B$11))/Inputs!$B$6</f>
        <v>363.54277642082383</v>
      </c>
      <c r="D24" s="30">
        <f>(SUMPRODUCT(($D$7:$H$7+D$20*$D$8:$H$8)/(1+$A24)^$D$9:$H$9)+D$20*$H$5*(1+Inputs!$B$26)*(1-Inputs!$B$20)*(1-Inputs!$B$26/Inputs!$B$27)/($A24-Inputs!$B$26)/(1+$A24)^$H$9+(Inputs!$B$7-Inputs!$B$22-Inputs!$B$10*Inputs!$B$11))/Inputs!$B$6</f>
        <v>401.59810283032607</v>
      </c>
      <c r="E24" s="30">
        <f>(SUMPRODUCT(($D$7:$H$7+E$20*$D$8:$H$8)/(1+$A24)^$D$9:$H$9)+E$20*$H$5*(1+Inputs!$B$26)*(1-Inputs!$B$20)*(1-Inputs!$B$26/Inputs!$B$27)/($A24-Inputs!$B$26)/(1+$A24)^$H$9+(Inputs!$B$7-Inputs!$B$22-Inputs!$B$10*Inputs!$B$11))/Inputs!$B$6</f>
        <v>439.65342923982826</v>
      </c>
      <c r="F24" s="30">
        <f>(SUMPRODUCT(($D$7:$H$7+F$20*$D$8:$H$8)/(1+$A24)^$D$9:$H$9)+F$20*$H$5*(1+Inputs!$B$26)*(1-Inputs!$B$20)*(1-Inputs!$B$26/Inputs!$B$27)/($A24-Inputs!$B$26)/(1+$A24)^$H$9+(Inputs!$B$7-Inputs!$B$22-Inputs!$B$10*Inputs!$B$11))/Inputs!$B$6</f>
        <v>477.7087556493305</v>
      </c>
      <c r="G24" s="30">
        <f>(SUMPRODUCT(($D$7:$H$7+G$20*$D$8:$H$8)/(1+$A24)^$D$9:$H$9)+G$20*$H$5*(1+Inputs!$B$26)*(1-Inputs!$B$20)*(1-Inputs!$B$26/Inputs!$B$27)/($A24-Inputs!$B$26)/(1+$A24)^$H$9+(Inputs!$B$7-Inputs!$B$22-Inputs!$B$10*Inputs!$B$11))/Inputs!$B$6</f>
        <v>515.76408205883274</v>
      </c>
      <c r="H24" s="30">
        <f>(SUMPRODUCT(($D$7:$H$7+H$20*$D$8:$H$8)/(1+$A24)^$D$9:$H$9)+H$20*$H$5*(1+Inputs!$B$26)*(1-Inputs!$B$20)*(1-Inputs!$B$26/Inputs!$B$27)/($A24-Inputs!$B$26)/(1+$A24)^$H$9+(Inputs!$B$7-Inputs!$B$22-Inputs!$B$10*Inputs!$B$11))/Inputs!$B$6</f>
        <v>553.81940846833493</v>
      </c>
      <c r="I24" s="30">
        <f>(SUMPRODUCT(($D$7:$H$7+I$20*$D$8:$H$8)/(1+$A24)^$D$9:$H$9)+I$20*$H$5*(1+Inputs!$B$26)*(1-Inputs!$B$20)*(1-Inputs!$B$26/Inputs!$B$27)/($A24-Inputs!$B$26)/(1+$A24)^$H$9+(Inputs!$B$7-Inputs!$B$22-Inputs!$B$10*Inputs!$B$11))/Inputs!$B$6</f>
        <v>629.93006128733941</v>
      </c>
    </row>
    <row r="25" spans="1:9" x14ac:dyDescent="0.3">
      <c r="A25" s="29">
        <v>0.14000000000000001</v>
      </c>
      <c r="C25" s="30">
        <f>(SUMPRODUCT(($D$7:$H$7+C$20*$D$8:$H$8)/(1+$A25)^$D$9:$H$9)+C$20*$H$5*(1+Inputs!$B$26)*(1-Inputs!$B$20)*(1-Inputs!$B$26/Inputs!$B$27)/($A25-Inputs!$B$26)/(1+$A25)^$H$9+(Inputs!$B$7-Inputs!$B$22-Inputs!$B$10*Inputs!$B$11))/Inputs!$B$6</f>
        <v>350.08381745777649</v>
      </c>
      <c r="D25" s="30">
        <f>(SUMPRODUCT(($D$7:$H$7+D$20*$D$8:$H$8)/(1+$A25)^$D$9:$H$9)+D$20*$H$5*(1+Inputs!$B$26)*(1-Inputs!$B$20)*(1-Inputs!$B$26/Inputs!$B$27)/($A25-Inputs!$B$26)/(1+$A25)^$H$9+(Inputs!$B$7-Inputs!$B$22-Inputs!$B$10*Inputs!$B$11))/Inputs!$B$6</f>
        <v>384.45780240639999</v>
      </c>
      <c r="E25" s="30">
        <f>(SUMPRODUCT(($D$7:$H$7+E$20*$D$8:$H$8)/(1+$A25)^$D$9:$H$9)+E$20*$H$5*(1+Inputs!$B$26)*(1-Inputs!$B$20)*(1-Inputs!$B$26/Inputs!$B$27)/($A25-Inputs!$B$26)/(1+$A25)^$H$9+(Inputs!$B$7-Inputs!$B$22-Inputs!$B$10*Inputs!$B$11))/Inputs!$B$6</f>
        <v>418.83178735502344</v>
      </c>
      <c r="F25" s="30">
        <f>(SUMPRODUCT(($D$7:$H$7+F$20*$D$8:$H$8)/(1+$A25)^$D$9:$H$9)+F$20*$H$5*(1+Inputs!$B$26)*(1-Inputs!$B$20)*(1-Inputs!$B$26/Inputs!$B$27)/($A25-Inputs!$B$26)/(1+$A25)^$H$9+(Inputs!$B$7-Inputs!$B$22-Inputs!$B$10*Inputs!$B$11))/Inputs!$B$6</f>
        <v>453.20577230364688</v>
      </c>
      <c r="G25" s="30">
        <f>(SUMPRODUCT(($D$7:$H$7+G$20*$D$8:$H$8)/(1+$A25)^$D$9:$H$9)+G$20*$H$5*(1+Inputs!$B$26)*(1-Inputs!$B$20)*(1-Inputs!$B$26/Inputs!$B$27)/($A25-Inputs!$B$26)/(1+$A25)^$H$9+(Inputs!$B$7-Inputs!$B$22-Inputs!$B$10*Inputs!$B$11))/Inputs!$B$6</f>
        <v>487.57975725227044</v>
      </c>
      <c r="H25" s="30">
        <f>(SUMPRODUCT(($D$7:$H$7+H$20*$D$8:$H$8)/(1+$A25)^$D$9:$H$9)+H$20*$H$5*(1+Inputs!$B$26)*(1-Inputs!$B$20)*(1-Inputs!$B$26/Inputs!$B$27)/($A25-Inputs!$B$26)/(1+$A25)^$H$9+(Inputs!$B$7-Inputs!$B$22-Inputs!$B$10*Inputs!$B$11))/Inputs!$B$6</f>
        <v>521.95374220089377</v>
      </c>
      <c r="I25" s="30">
        <f>(SUMPRODUCT(($D$7:$H$7+I$20*$D$8:$H$8)/(1+$A25)^$D$9:$H$9)+I$20*$H$5*(1+Inputs!$B$26)*(1-Inputs!$B$20)*(1-Inputs!$B$26/Inputs!$B$27)/($A25-Inputs!$B$26)/(1+$A25)^$H$9+(Inputs!$B$7-Inputs!$B$22-Inputs!$B$10*Inputs!$B$11))/Inputs!$B$6</f>
        <v>590.70171209814066</v>
      </c>
    </row>
    <row r="26" spans="1:9" x14ac:dyDescent="0.3">
      <c r="A26" s="29">
        <v>0.15</v>
      </c>
      <c r="C26" s="30">
        <f>(SUMPRODUCT(($D$7:$H$7+C$20*$D$8:$H$8)/(1+$A26)^$D$9:$H$9)+C$20*$H$5*(1+Inputs!$B$26)*(1-Inputs!$B$20)*(1-Inputs!$B$26/Inputs!$B$27)/($A26-Inputs!$B$26)/(1+$A26)^$H$9+(Inputs!$B$7-Inputs!$B$22-Inputs!$B$10*Inputs!$B$11))/Inputs!$B$6</f>
        <v>338.49446474576519</v>
      </c>
      <c r="D26" s="30">
        <f>(SUMPRODUCT(($D$7:$H$7+D$20*$D$8:$H$8)/(1+$A26)^$D$9:$H$9)+D$20*$H$5*(1+Inputs!$B$26)*(1-Inputs!$B$20)*(1-Inputs!$B$26/Inputs!$B$27)/($A26-Inputs!$B$26)/(1+$A26)^$H$9+(Inputs!$B$7-Inputs!$B$22-Inputs!$B$10*Inputs!$B$11))/Inputs!$B$6</f>
        <v>369.79407315760756</v>
      </c>
      <c r="E26" s="30">
        <f>(SUMPRODUCT(($D$7:$H$7+E$20*$D$8:$H$8)/(1+$A26)^$D$9:$H$9)+E$20*$H$5*(1+Inputs!$B$26)*(1-Inputs!$B$20)*(1-Inputs!$B$26/Inputs!$B$27)/($A26-Inputs!$B$26)/(1+$A26)^$H$9+(Inputs!$B$7-Inputs!$B$22-Inputs!$B$10*Inputs!$B$11))/Inputs!$B$6</f>
        <v>401.09368156944993</v>
      </c>
      <c r="F26" s="30">
        <f>(SUMPRODUCT(($D$7:$H$7+F$20*$D$8:$H$8)/(1+$A26)^$D$9:$H$9)+F$20*$H$5*(1+Inputs!$B$26)*(1-Inputs!$B$20)*(1-Inputs!$B$26/Inputs!$B$27)/($A26-Inputs!$B$26)/(1+$A26)^$H$9+(Inputs!$B$7-Inputs!$B$22-Inputs!$B$10*Inputs!$B$11))/Inputs!$B$6</f>
        <v>432.3932899812923</v>
      </c>
      <c r="G26" s="30">
        <f>(SUMPRODUCT(($D$7:$H$7+G$20*$D$8:$H$8)/(1+$A26)^$D$9:$H$9)+G$20*$H$5*(1+Inputs!$B$26)*(1-Inputs!$B$20)*(1-Inputs!$B$26/Inputs!$B$27)/($A26-Inputs!$B$26)/(1+$A26)^$H$9+(Inputs!$B$7-Inputs!$B$22-Inputs!$B$10*Inputs!$B$11))/Inputs!$B$6</f>
        <v>463.69289839313467</v>
      </c>
      <c r="H26" s="30">
        <f>(SUMPRODUCT(($D$7:$H$7+H$20*$D$8:$H$8)/(1+$A26)^$D$9:$H$9)+H$20*$H$5*(1+Inputs!$B$26)*(1-Inputs!$B$20)*(1-Inputs!$B$26/Inputs!$B$27)/($A26-Inputs!$B$26)/(1+$A26)^$H$9+(Inputs!$B$7-Inputs!$B$22-Inputs!$B$10*Inputs!$B$11))/Inputs!$B$6</f>
        <v>494.9925068049771</v>
      </c>
      <c r="I26" s="30">
        <f>(SUMPRODUCT(($D$7:$H$7+I$20*$D$8:$H$8)/(1+$A26)^$D$9:$H$9)+I$20*$H$5*(1+Inputs!$B$26)*(1-Inputs!$B$20)*(1-Inputs!$B$26/Inputs!$B$27)/($A26-Inputs!$B$26)/(1+$A26)^$H$9+(Inputs!$B$7-Inputs!$B$22-Inputs!$B$10*Inputs!$B$11))/Inputs!$B$6</f>
        <v>557.59172362866173</v>
      </c>
    </row>
    <row r="27" spans="1:9" x14ac:dyDescent="0.3">
      <c r="A27" s="29">
        <v>0.16</v>
      </c>
      <c r="C27" s="30">
        <f>(SUMPRODUCT(($D$7:$H$7+C$20*$D$8:$H$8)/(1+$A27)^$D$9:$H$9)+C$20*$H$5*(1+Inputs!$B$26)*(1-Inputs!$B$20)*(1-Inputs!$B$26/Inputs!$B$27)/($A27-Inputs!$B$26)/(1+$A27)^$H$9+(Inputs!$B$7-Inputs!$B$22-Inputs!$B$10*Inputs!$B$11))/Inputs!$B$6</f>
        <v>328.35530316964184</v>
      </c>
      <c r="D27" s="30">
        <f>(SUMPRODUCT(($D$7:$H$7+D$20*$D$8:$H$8)/(1+$A27)^$D$9:$H$9)+D$20*$H$5*(1+Inputs!$B$26)*(1-Inputs!$B$20)*(1-Inputs!$B$26/Inputs!$B$27)/($A27-Inputs!$B$26)/(1+$A27)^$H$9+(Inputs!$B$7-Inputs!$B$22-Inputs!$B$10*Inputs!$B$11))/Inputs!$B$6</f>
        <v>357.0481187693469</v>
      </c>
      <c r="E27" s="30">
        <f>(SUMPRODUCT(($D$7:$H$7+E$20*$D$8:$H$8)/(1+$A27)^$D$9:$H$9)+E$20*$H$5*(1+Inputs!$B$26)*(1-Inputs!$B$20)*(1-Inputs!$B$26/Inputs!$B$27)/($A27-Inputs!$B$26)/(1+$A27)^$H$9+(Inputs!$B$7-Inputs!$B$22-Inputs!$B$10*Inputs!$B$11))/Inputs!$B$6</f>
        <v>385.74093436905196</v>
      </c>
      <c r="F27" s="30">
        <f>(SUMPRODUCT(($D$7:$H$7+F$20*$D$8:$H$8)/(1+$A27)^$D$9:$H$9)+F$20*$H$5*(1+Inputs!$B$26)*(1-Inputs!$B$20)*(1-Inputs!$B$26/Inputs!$B$27)/($A27-Inputs!$B$26)/(1+$A27)^$H$9+(Inputs!$B$7-Inputs!$B$22-Inputs!$B$10*Inputs!$B$11))/Inputs!$B$6</f>
        <v>414.43374996875707</v>
      </c>
      <c r="G27" s="30">
        <f>(SUMPRODUCT(($D$7:$H$7+G$20*$D$8:$H$8)/(1+$A27)^$D$9:$H$9)+G$20*$H$5*(1+Inputs!$B$26)*(1-Inputs!$B$20)*(1-Inputs!$B$26/Inputs!$B$27)/($A27-Inputs!$B$26)/(1+$A27)^$H$9+(Inputs!$B$7-Inputs!$B$22-Inputs!$B$10*Inputs!$B$11))/Inputs!$B$6</f>
        <v>443.12656556846213</v>
      </c>
      <c r="H27" s="30">
        <f>(SUMPRODUCT(($D$7:$H$7+H$20*$D$8:$H$8)/(1+$A27)^$D$9:$H$9)+H$20*$H$5*(1+Inputs!$B$26)*(1-Inputs!$B$20)*(1-Inputs!$B$26/Inputs!$B$27)/($A27-Inputs!$B$26)/(1+$A27)^$H$9+(Inputs!$B$7-Inputs!$B$22-Inputs!$B$10*Inputs!$B$11))/Inputs!$B$6</f>
        <v>471.8193811681673</v>
      </c>
      <c r="I27" s="30">
        <f>(SUMPRODUCT(($D$7:$H$7+I$20*$D$8:$H$8)/(1+$A27)^$D$9:$H$9)+I$20*$H$5*(1+Inputs!$B$26)*(1-Inputs!$B$20)*(1-Inputs!$B$26/Inputs!$B$27)/($A27-Inputs!$B$26)/(1+$A27)^$H$9+(Inputs!$B$7-Inputs!$B$22-Inputs!$B$10*Inputs!$B$11))/Inputs!$B$6</f>
        <v>529.20501236757741</v>
      </c>
    </row>
    <row r="28" spans="1:9" x14ac:dyDescent="0.3">
      <c r="A28" s="29">
        <v>0.18</v>
      </c>
      <c r="C28" s="30">
        <f>(SUMPRODUCT(($D$7:$H$7+C$20*$D$8:$H$8)/(1+$A28)^$D$9:$H$9)+C$20*$H$5*(1+Inputs!$B$26)*(1-Inputs!$B$20)*(1-Inputs!$B$26/Inputs!$B$27)/($A28-Inputs!$B$26)/(1+$A28)^$H$9+(Inputs!$B$7-Inputs!$B$22-Inputs!$B$10*Inputs!$B$11))/Inputs!$B$6</f>
        <v>311.30690193690799</v>
      </c>
      <c r="D28" s="30">
        <f>(SUMPRODUCT(($D$7:$H$7+D$20*$D$8:$H$8)/(1+$A28)^$D$9:$H$9)+D$20*$H$5*(1+Inputs!$B$26)*(1-Inputs!$B$20)*(1-Inputs!$B$26/Inputs!$B$27)/($A28-Inputs!$B$26)/(1+$A28)^$H$9+(Inputs!$B$7-Inputs!$B$22-Inputs!$B$10*Inputs!$B$11))/Inputs!$B$6</f>
        <v>335.81696709452342</v>
      </c>
      <c r="E28" s="30">
        <f>(SUMPRODUCT(($D$7:$H$7+E$20*$D$8:$H$8)/(1+$A28)^$D$9:$H$9)+E$20*$H$5*(1+Inputs!$B$26)*(1-Inputs!$B$20)*(1-Inputs!$B$26/Inputs!$B$27)/($A28-Inputs!$B$26)/(1+$A28)^$H$9+(Inputs!$B$7-Inputs!$B$22-Inputs!$B$10*Inputs!$B$11))/Inputs!$B$6</f>
        <v>360.32703225213885</v>
      </c>
      <c r="F28" s="30">
        <f>(SUMPRODUCT(($D$7:$H$7+F$20*$D$8:$H$8)/(1+$A28)^$D$9:$H$9)+F$20*$H$5*(1+Inputs!$B$26)*(1-Inputs!$B$20)*(1-Inputs!$B$26/Inputs!$B$27)/($A28-Inputs!$B$26)/(1+$A28)^$H$9+(Inputs!$B$7-Inputs!$B$22-Inputs!$B$10*Inputs!$B$11))/Inputs!$B$6</f>
        <v>384.83709740975416</v>
      </c>
      <c r="G28" s="30">
        <f>(SUMPRODUCT(($D$7:$H$7+G$20*$D$8:$H$8)/(1+$A28)^$D$9:$H$9)+G$20*$H$5*(1+Inputs!$B$26)*(1-Inputs!$B$20)*(1-Inputs!$B$26/Inputs!$B$27)/($A28-Inputs!$B$26)/(1+$A28)^$H$9+(Inputs!$B$7-Inputs!$B$22-Inputs!$B$10*Inputs!$B$11))/Inputs!$B$6</f>
        <v>409.34716256736959</v>
      </c>
      <c r="H28" s="30">
        <f>(SUMPRODUCT(($D$7:$H$7+H$20*$D$8:$H$8)/(1+$A28)^$D$9:$H$9)+H$20*$H$5*(1+Inputs!$B$26)*(1-Inputs!$B$20)*(1-Inputs!$B$26/Inputs!$B$27)/($A28-Inputs!$B$26)/(1+$A28)^$H$9+(Inputs!$B$7-Inputs!$B$22-Inputs!$B$10*Inputs!$B$11))/Inputs!$B$6</f>
        <v>433.85722772498502</v>
      </c>
      <c r="I28" s="30">
        <f>(SUMPRODUCT(($D$7:$H$7+I$20*$D$8:$H$8)/(1+$A28)^$D$9:$H$9)+I$20*$H$5*(1+Inputs!$B$26)*(1-Inputs!$B$20)*(1-Inputs!$B$26/Inputs!$B$27)/($A28-Inputs!$B$26)/(1+$A28)^$H$9+(Inputs!$B$7-Inputs!$B$22-Inputs!$B$10*Inputs!$B$11))/Inputs!$B$6</f>
        <v>482.87735804021588</v>
      </c>
    </row>
    <row r="30" spans="1:9" x14ac:dyDescent="0.3">
      <c r="A30" s="5" t="s">
        <v>179</v>
      </c>
      <c r="C30" s="11">
        <f>Inputs!B5</f>
        <v>878.84</v>
      </c>
    </row>
    <row r="31" spans="1:9" x14ac:dyDescent="0.3">
      <c r="A31" s="5" t="s">
        <v>180</v>
      </c>
      <c r="C31" s="7">
        <f>Inputs!B23</f>
        <v>0.14171708319436885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/>
  </sheetViews>
  <sheetFormatPr baseColWidth="10" defaultColWidth="8.88671875" defaultRowHeight="14.4" x14ac:dyDescent="0.3"/>
  <cols>
    <col min="1" max="1" width="30" customWidth="1"/>
    <col min="2" max="8" width="14" customWidth="1"/>
  </cols>
  <sheetData>
    <row r="1" spans="1:8" x14ac:dyDescent="0.3">
      <c r="A1" s="1" t="s">
        <v>181</v>
      </c>
    </row>
    <row r="2" spans="1:8" x14ac:dyDescent="0.3">
      <c r="A2" s="2" t="s">
        <v>182</v>
      </c>
    </row>
    <row r="4" spans="1:8" x14ac:dyDescent="0.3">
      <c r="A4" s="3" t="s">
        <v>183</v>
      </c>
      <c r="B4" s="4" t="s">
        <v>184</v>
      </c>
      <c r="C4" s="4" t="s">
        <v>185</v>
      </c>
      <c r="D4" s="4" t="s">
        <v>186</v>
      </c>
      <c r="E4" s="4" t="s">
        <v>187</v>
      </c>
      <c r="F4" s="4" t="s">
        <v>188</v>
      </c>
      <c r="G4" s="4" t="s">
        <v>133</v>
      </c>
      <c r="H4" s="4" t="s">
        <v>132</v>
      </c>
    </row>
    <row r="5" spans="1:8" x14ac:dyDescent="0.3">
      <c r="A5" s="5" t="s">
        <v>189</v>
      </c>
      <c r="B5" s="5" t="s">
        <v>190</v>
      </c>
      <c r="C5" s="31">
        <v>11.8</v>
      </c>
      <c r="D5" s="31">
        <v>4.2</v>
      </c>
      <c r="E5" s="31">
        <v>8.8000000000000007</v>
      </c>
      <c r="F5" s="31">
        <v>7.2</v>
      </c>
      <c r="G5" s="17">
        <v>0.80700000000000005</v>
      </c>
      <c r="H5" s="17">
        <v>0.80700000000000005</v>
      </c>
    </row>
    <row r="6" spans="1:8" x14ac:dyDescent="0.3">
      <c r="A6" s="5" t="s">
        <v>191</v>
      </c>
      <c r="B6" s="5" t="s">
        <v>192</v>
      </c>
      <c r="C6" s="31" t="s">
        <v>193</v>
      </c>
      <c r="D6" s="31">
        <v>2.7</v>
      </c>
      <c r="E6" s="31">
        <v>5.8</v>
      </c>
      <c r="F6" s="31">
        <v>4.4000000000000004</v>
      </c>
      <c r="G6" s="17">
        <v>0.76300000000000001</v>
      </c>
      <c r="H6" s="17">
        <v>0.76300000000000001</v>
      </c>
    </row>
    <row r="7" spans="1:8" x14ac:dyDescent="0.3">
      <c r="A7" s="5" t="s">
        <v>194</v>
      </c>
      <c r="B7" s="5" t="s">
        <v>195</v>
      </c>
      <c r="C7" s="31" t="s">
        <v>193</v>
      </c>
      <c r="D7" s="31">
        <v>3</v>
      </c>
      <c r="E7" s="31">
        <v>5.6</v>
      </c>
      <c r="F7" s="31">
        <v>2.6</v>
      </c>
      <c r="G7" s="17">
        <v>0.52200000000000002</v>
      </c>
      <c r="H7" s="17">
        <v>0.57499999999999996</v>
      </c>
    </row>
    <row r="8" spans="1:8" x14ac:dyDescent="0.3">
      <c r="A8" s="5" t="s">
        <v>196</v>
      </c>
      <c r="B8" s="5" t="s">
        <v>197</v>
      </c>
      <c r="C8" s="31">
        <v>17.600000000000001</v>
      </c>
      <c r="D8" s="31">
        <v>4.9000000000000004</v>
      </c>
      <c r="E8" s="31">
        <v>14.7</v>
      </c>
      <c r="F8" s="31">
        <v>9.1999999999999993</v>
      </c>
      <c r="G8" s="17">
        <v>0.78500000000000003</v>
      </c>
      <c r="H8" s="17">
        <v>0.71499999999999997</v>
      </c>
    </row>
    <row r="9" spans="1:8" x14ac:dyDescent="0.3">
      <c r="A9" s="5" t="s">
        <v>198</v>
      </c>
      <c r="B9" s="5" t="s">
        <v>199</v>
      </c>
      <c r="C9" s="31">
        <v>12.3</v>
      </c>
      <c r="D9" s="31">
        <v>10</v>
      </c>
      <c r="E9" s="31">
        <v>23.9</v>
      </c>
      <c r="F9" s="31">
        <v>9.1999999999999993</v>
      </c>
      <c r="G9" s="17">
        <v>0.436</v>
      </c>
      <c r="H9" s="17">
        <v>0.48899999999999999</v>
      </c>
    </row>
    <row r="10" spans="1:8" x14ac:dyDescent="0.3">
      <c r="A10" s="5" t="s">
        <v>200</v>
      </c>
      <c r="B10" s="5" t="s">
        <v>201</v>
      </c>
      <c r="C10" s="31">
        <v>46</v>
      </c>
      <c r="D10" s="31">
        <v>11.3</v>
      </c>
      <c r="E10" s="31">
        <v>32.700000000000003</v>
      </c>
      <c r="F10" s="31">
        <v>12.1</v>
      </c>
      <c r="G10" s="17">
        <v>0.43099999999999999</v>
      </c>
      <c r="H10" s="17">
        <v>0.45600000000000002</v>
      </c>
    </row>
    <row r="12" spans="1:8" x14ac:dyDescent="0.3">
      <c r="A12" s="1" t="s">
        <v>202</v>
      </c>
      <c r="C12" s="26">
        <f t="shared" ref="C12:H12" si="0">MEDIAN(C6:C10)</f>
        <v>17.600000000000001</v>
      </c>
      <c r="D12" s="26">
        <f t="shared" si="0"/>
        <v>4.9000000000000004</v>
      </c>
      <c r="E12" s="26">
        <f t="shared" si="0"/>
        <v>14.7</v>
      </c>
      <c r="F12" s="26">
        <f t="shared" si="0"/>
        <v>9.1999999999999993</v>
      </c>
      <c r="G12" s="10">
        <f t="shared" si="0"/>
        <v>0.52200000000000002</v>
      </c>
      <c r="H12" s="10">
        <f t="shared" si="0"/>
        <v>0.57499999999999996</v>
      </c>
    </row>
    <row r="13" spans="1:8" x14ac:dyDescent="0.3">
      <c r="A13" s="5" t="s">
        <v>203</v>
      </c>
      <c r="D13" s="10">
        <f>D5/D12-1</f>
        <v>-0.1428571428571429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Inputs</vt:lpstr>
      <vt:lpstr>Historical</vt:lpstr>
      <vt:lpstr>DCF</vt:lpstr>
      <vt:lpstr>Reverse 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renere</cp:lastModifiedBy>
  <dcterms:created xsi:type="dcterms:W3CDTF">2026-10-17T15:18:36Z</dcterms:created>
  <dcterms:modified xsi:type="dcterms:W3CDTF">2026-10-17T15:18:42Z</dcterms:modified>
</cp:coreProperties>
</file>